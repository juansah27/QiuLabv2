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ystemSupport\Downloads\"/>
    </mc:Choice>
  </mc:AlternateContent>
  <xr:revisionPtr revIDLastSave="0" documentId="8_{CDCB9262-3BDB-44B8-B56A-6831BC63615F}" xr6:coauthVersionLast="47" xr6:coauthVersionMax="47" xr10:uidLastSave="{00000000-0000-0000-0000-000000000000}"/>
  <bookViews>
    <workbookView xWindow="-120" yWindow="-120" windowWidth="29040" windowHeight="15720" activeTab="2" xr2:uid="{D963C2A7-9C05-477C-A060-10A0E23255A9}"/>
  </bookViews>
  <sheets>
    <sheet name="Sheet1" sheetId="1" r:id="rId1"/>
    <sheet name="Sheet2" sheetId="2" r:id="rId2"/>
    <sheet name="Sheet3" sheetId="3" r:id="rId3"/>
  </sheets>
  <externalReferences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8" i="3" l="1"/>
  <c r="D7" i="3"/>
  <c r="D6" i="3"/>
  <c r="D5" i="3"/>
  <c r="D4" i="3"/>
  <c r="D3" i="3"/>
  <c r="D8" i="2"/>
  <c r="D7" i="2"/>
  <c r="D6" i="2"/>
  <c r="D5" i="2"/>
  <c r="D4" i="2"/>
  <c r="D3" i="2"/>
  <c r="E8" i="1"/>
  <c r="E7" i="1"/>
  <c r="E6" i="1"/>
  <c r="E5" i="1"/>
  <c r="E4" i="1"/>
  <c r="E3" i="1"/>
</calcChain>
</file>

<file path=xl/sharedStrings.xml><?xml version="1.0" encoding="utf-8"?>
<sst xmlns="http://schemas.openxmlformats.org/spreadsheetml/2006/main" count="106" uniqueCount="29">
  <si>
    <t>No</t>
  </si>
  <si>
    <t>SKU BUNDLE</t>
  </si>
  <si>
    <t>SKU Komponen</t>
  </si>
  <si>
    <t>Client</t>
  </si>
  <si>
    <t>Marketplace</t>
  </si>
  <si>
    <t>Start_Date</t>
  </si>
  <si>
    <t>End_Date</t>
  </si>
  <si>
    <t>SKU Bundle</t>
  </si>
  <si>
    <t>Name Bundle</t>
  </si>
  <si>
    <t>SKU Product</t>
  </si>
  <si>
    <t>Name Product</t>
  </si>
  <si>
    <t>Qty</t>
  </si>
  <si>
    <t>ASM804</t>
  </si>
  <si>
    <t>spatula s3, knife s2 rg</t>
  </si>
  <si>
    <t>PRO3330A</t>
  </si>
  <si>
    <t>PERO</t>
  </si>
  <si>
    <t>PRO3114B</t>
  </si>
  <si>
    <t>ASM804A</t>
  </si>
  <si>
    <t>spatula s3 mint, knife s2 grey</t>
  </si>
  <si>
    <t>PRO3330</t>
  </si>
  <si>
    <t>PRO3114A</t>
  </si>
  <si>
    <t>ASM804B</t>
  </si>
  <si>
    <t>spatula s3, knife s2 creamy</t>
  </si>
  <si>
    <t>PRO3330B</t>
  </si>
  <si>
    <t>PRO3114</t>
  </si>
  <si>
    <t>Shopee, Tiktok</t>
  </si>
  <si>
    <t>TIKTOK</t>
  </si>
  <si>
    <t>PEROID</t>
  </si>
  <si>
    <t>PEROOFFICIAL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</si>
</sst>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1"/>
      <color indexed="8"/>
      <name val="Calibri"/>
      <family val="2"/>
    </font>
    <font>
      <sz val="11"/>
      <color indexed="8"/>
      <name val="Aptos Narrow"/>
      <family val="2"/>
    </font>
  </fonts>
  <fills count="5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0" fontId="0" fillId="0" borderId="1" xfId="0" applyBorder="1" applyAlignment="1"/>
    <xf numFmtId="14" fontId="0" fillId="0" borderId="1" xfId="0" applyNumberFormat="1" applyBorder="1" applyAlignment="1"/>
    <xf numFmtId="0" fontId="2" fillId="0" borderId="1" xfId="0" applyFont="1" applyBorder="1" applyAlignment="1"/>
    <xf numFmtId="0" fontId="3" fillId="0" borderId="1" xfId="0" applyFont="1" applyBorder="1" applyAlignment="1"/>
    <xf numFmtId="0" fontId="4" fillId="0" borderId="1" xfId="0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LENOVO%20SLIM%20(3)/Downloads/Stock%20Flexo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ll Stock Flexo"/>
      <sheetName val="Tumbler"/>
      <sheetName val="Cookware"/>
    </sheetNames>
    <sheetDataSet>
      <sheetData sheetId="0" refreshError="1">
        <row r="1">
          <cell r="F1" t="str">
            <v>Product Code</v>
          </cell>
          <cell r="G1" t="str">
            <v>Product Name</v>
          </cell>
        </row>
        <row r="2">
          <cell r="F2" t="str">
            <v>MDL0001</v>
          </cell>
          <cell r="G2" t="str">
            <v>Ayaka Knife set of 5 - Lilac</v>
          </cell>
        </row>
        <row r="3">
          <cell r="F3" t="str">
            <v>MDL0001A</v>
          </cell>
          <cell r="G3" t="str">
            <v>Ayaka Knife set of 5 - Pink</v>
          </cell>
        </row>
        <row r="4">
          <cell r="F4" t="str">
            <v>MDL0001B</v>
          </cell>
          <cell r="G4" t="str">
            <v>Ayaka Knife set of 5 - Mint</v>
          </cell>
        </row>
        <row r="5">
          <cell r="F5" t="str">
            <v>PRO3114</v>
          </cell>
          <cell r="G5" t="str">
            <v>KNIFE SET OF 2 - CREAMY</v>
          </cell>
        </row>
        <row r="6">
          <cell r="F6" t="str">
            <v>PRO3114A</v>
          </cell>
          <cell r="G6" t="str">
            <v>KNIFE SET OF 2 - GREY</v>
          </cell>
        </row>
        <row r="7">
          <cell r="F7" t="str">
            <v>PRO3114B</v>
          </cell>
          <cell r="G7" t="str">
            <v>KNIFE SET OF 2 - ROSEGOLD</v>
          </cell>
        </row>
        <row r="8">
          <cell r="F8" t="str">
            <v>PRO3215B</v>
          </cell>
          <cell r="G8" t="str">
            <v>Yuri Stockpot 24cm Creamy</v>
          </cell>
        </row>
        <row r="9">
          <cell r="F9" t="str">
            <v>PRO3215D</v>
          </cell>
          <cell r="G9" t="str">
            <v>Yuri Stockpot 24cm Mint</v>
          </cell>
        </row>
        <row r="10">
          <cell r="F10" t="str">
            <v>PRO3312E</v>
          </cell>
          <cell r="G10" t="str">
            <v>Fancy Tumbler 1182ml Black Pink</v>
          </cell>
        </row>
        <row r="11">
          <cell r="F11" t="str">
            <v>PRO3319</v>
          </cell>
          <cell r="G11" t="str">
            <v>Slow Cooker Rosegold</v>
          </cell>
        </row>
        <row r="12">
          <cell r="F12" t="str">
            <v>PRO3319A</v>
          </cell>
          <cell r="G12" t="str">
            <v>Slow Cooker Emerald Green</v>
          </cell>
        </row>
        <row r="13">
          <cell r="F13" t="str">
            <v>PRO3324D</v>
          </cell>
          <cell r="G13" t="str">
            <v>Rainbow Tumbler Black Pink</v>
          </cell>
        </row>
        <row r="14">
          <cell r="F14" t="str">
            <v>PRO3324E</v>
          </cell>
          <cell r="G14" t="str">
            <v>Rainbow Tumbler Pink Black</v>
          </cell>
        </row>
        <row r="15">
          <cell r="F15" t="str">
            <v>PRO3330</v>
          </cell>
          <cell r="G15" t="str">
            <v>Spatulla Set of 3 Mint</v>
          </cell>
        </row>
        <row r="16">
          <cell r="F16" t="str">
            <v>PRO3330A</v>
          </cell>
          <cell r="G16" t="str">
            <v>Spatulla Set of 3 Rosegold</v>
          </cell>
        </row>
        <row r="17">
          <cell r="F17" t="str">
            <v>PRO3330B</v>
          </cell>
          <cell r="G17" t="str">
            <v>Spatulla Set of 3 Creamy</v>
          </cell>
        </row>
        <row r="18">
          <cell r="F18" t="str">
            <v>PRO3398</v>
          </cell>
          <cell r="G18" t="str">
            <v>NAKA TUMBLER 30 OZ - WHITE</v>
          </cell>
        </row>
        <row r="19">
          <cell r="F19" t="str">
            <v>PRO3398A</v>
          </cell>
          <cell r="G19" t="str">
            <v>NAKA TUMBLER 30 OZ - PINK</v>
          </cell>
        </row>
        <row r="20">
          <cell r="F20" t="str">
            <v>PRO3398B</v>
          </cell>
          <cell r="G20" t="str">
            <v>NAKA TUMBLER 30 OZ - BLUE</v>
          </cell>
        </row>
        <row r="21">
          <cell r="F21" t="str">
            <v>PRO3398C</v>
          </cell>
          <cell r="G21" t="str">
            <v>NAKA TUMBLER 30 OZ - YELLOW</v>
          </cell>
        </row>
        <row r="22">
          <cell r="F22" t="str">
            <v>PRO3410</v>
          </cell>
          <cell r="G22" t="str">
            <v>Barca Tumbler 1 Liter Pink</v>
          </cell>
        </row>
        <row r="23">
          <cell r="F23" t="str">
            <v>PRO3410A</v>
          </cell>
          <cell r="G23" t="str">
            <v>Barca Tumbler 1 Liter Blue</v>
          </cell>
        </row>
        <row r="24">
          <cell r="F24" t="str">
            <v>PRO3410B</v>
          </cell>
          <cell r="G24" t="str">
            <v>Barca Tumbler 1 Liter Mint</v>
          </cell>
        </row>
        <row r="25">
          <cell r="F25" t="str">
            <v>PRO3410C</v>
          </cell>
          <cell r="G25" t="str">
            <v>Barca Tumbler 1 Liter Terracotta</v>
          </cell>
        </row>
        <row r="26">
          <cell r="F26" t="str">
            <v>PRO3410D</v>
          </cell>
          <cell r="G26" t="str">
            <v>Barca Tumbler 1 Liter Grey</v>
          </cell>
        </row>
        <row r="27">
          <cell r="F27" t="str">
            <v>PRO3410E</v>
          </cell>
          <cell r="G27" t="str">
            <v>Barca Tumbler 1 Liter Lilac</v>
          </cell>
        </row>
        <row r="28">
          <cell r="F28" t="str">
            <v>PRO3411</v>
          </cell>
          <cell r="G28" t="str">
            <v>Shona Tumbler Set of 3 Lilac</v>
          </cell>
        </row>
        <row r="29">
          <cell r="F29" t="str">
            <v>PRO3411A</v>
          </cell>
          <cell r="G29" t="str">
            <v>Shona Tumbler Set of 3 Pink</v>
          </cell>
        </row>
        <row r="30">
          <cell r="F30" t="str">
            <v>PRO3411B</v>
          </cell>
          <cell r="G30" t="str">
            <v>Shona Tumbler Set of 3 Blue</v>
          </cell>
        </row>
      </sheetData>
      <sheetData sheetId="1" refreshError="1"/>
      <sheetData sheetId="2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CC6933-2A71-4478-8648-9BCF89071306}">
  <dimension ref="A1:J8"/>
  <sheetViews>
    <sheetView workbookViewId="0">
      <selection activeCell="B1" sqref="B1:J8"/>
    </sheetView>
  </sheetViews>
  <sheetFormatPr defaultRowHeight="15"/>
  <cols>
    <col min="1" max="1" width="3.5703125" bestFit="1" customWidth="1"/>
    <col min="2" max="2" width="11.28515625" bestFit="1" customWidth="1"/>
    <col min="3" max="3" width="27" bestFit="1" customWidth="1"/>
    <col min="4" max="4" width="11.85546875" bestFit="1" customWidth="1"/>
    <col min="5" max="5" width="25.28515625" bestFit="1" customWidth="1"/>
    <col min="6" max="6" width="4.140625" bestFit="1" customWidth="1"/>
    <col min="7" max="7" width="6.28515625" bestFit="1" customWidth="1"/>
    <col min="8" max="8" width="27.140625" bestFit="1" customWidth="1"/>
    <col min="9" max="10" width="10.7109375" bestFit="1" customWidth="1"/>
  </cols>
  <sheetData>
    <row r="1" spans="1:10">
      <c r="A1" s="3" t="s">
        <v>0</v>
      </c>
      <c r="B1" s="1" t="s">
        <v>1</v>
      </c>
      <c r="C1" s="1"/>
      <c r="D1" s="2" t="s">
        <v>2</v>
      </c>
      <c r="E1" s="2"/>
      <c r="F1" s="2"/>
      <c r="G1" s="3" t="s">
        <v>3</v>
      </c>
      <c r="H1" s="3" t="s">
        <v>4</v>
      </c>
      <c r="I1" s="3" t="s">
        <v>5</v>
      </c>
      <c r="J1" s="3" t="s">
        <v>6</v>
      </c>
    </row>
    <row r="2" spans="1:10">
      <c r="A2" s="3"/>
      <c r="B2" s="4" t="s">
        <v>7</v>
      </c>
      <c r="C2" s="4" t="s">
        <v>8</v>
      </c>
      <c r="D2" s="4" t="s">
        <v>9</v>
      </c>
      <c r="E2" s="4" t="s">
        <v>10</v>
      </c>
      <c r="F2" s="4" t="s">
        <v>11</v>
      </c>
      <c r="G2" s="3"/>
      <c r="H2" s="3"/>
      <c r="I2" s="3"/>
      <c r="J2" s="3"/>
    </row>
    <row r="3" spans="1:10">
      <c r="A3" s="7"/>
      <c r="B3" s="9" t="s">
        <v>12</v>
      </c>
      <c r="C3" s="10" t="s">
        <v>13</v>
      </c>
      <c r="D3" s="11" t="s">
        <v>14</v>
      </c>
      <c r="E3" s="7" t="str">
        <f>VLOOKUP(D3,'[1]All Stock Flexo'!$F:$G,2,0)</f>
        <v>Spatulla Set of 3 Rosegold</v>
      </c>
      <c r="F3" s="5">
        <v>1</v>
      </c>
      <c r="G3" s="6" t="s">
        <v>15</v>
      </c>
      <c r="H3" s="7" t="s">
        <v>25</v>
      </c>
      <c r="I3" s="8">
        <v>45959</v>
      </c>
      <c r="J3" s="8">
        <v>47847</v>
      </c>
    </row>
    <row r="4" spans="1:10">
      <c r="A4" s="7"/>
      <c r="B4" s="9"/>
      <c r="C4" s="9"/>
      <c r="D4" s="11" t="s">
        <v>16</v>
      </c>
      <c r="E4" s="7" t="str">
        <f>VLOOKUP(D4,'[1]All Stock Flexo'!$F:$G,2,0)</f>
        <v>KNIFE SET OF 2 - ROSEGOLD</v>
      </c>
      <c r="F4" s="5">
        <v>1</v>
      </c>
      <c r="G4" s="6" t="s">
        <v>15</v>
      </c>
      <c r="H4" s="7" t="s">
        <v>25</v>
      </c>
      <c r="I4" s="8">
        <v>45959</v>
      </c>
      <c r="J4" s="8">
        <v>47847</v>
      </c>
    </row>
    <row r="5" spans="1:10">
      <c r="A5" s="7"/>
      <c r="B5" s="9" t="s">
        <v>17</v>
      </c>
      <c r="C5" s="10" t="s">
        <v>18</v>
      </c>
      <c r="D5" s="11" t="s">
        <v>19</v>
      </c>
      <c r="E5" s="7" t="str">
        <f>VLOOKUP(D5,'[1]All Stock Flexo'!$F:$G,2,0)</f>
        <v>Spatulla Set of 3 Mint</v>
      </c>
      <c r="F5" s="5">
        <v>1</v>
      </c>
      <c r="G5" s="6" t="s">
        <v>15</v>
      </c>
      <c r="H5" s="7" t="s">
        <v>25</v>
      </c>
      <c r="I5" s="8">
        <v>45959</v>
      </c>
      <c r="J5" s="8">
        <v>47847</v>
      </c>
    </row>
    <row r="6" spans="1:10">
      <c r="A6" s="7"/>
      <c r="B6" s="9"/>
      <c r="C6" s="9"/>
      <c r="D6" s="11" t="s">
        <v>20</v>
      </c>
      <c r="E6" s="7" t="str">
        <f>VLOOKUP(D6,'[1]All Stock Flexo'!$F:$G,2,0)</f>
        <v>KNIFE SET OF 2 - GREY</v>
      </c>
      <c r="F6" s="5">
        <v>1</v>
      </c>
      <c r="G6" s="6" t="s">
        <v>15</v>
      </c>
      <c r="H6" s="7" t="s">
        <v>25</v>
      </c>
      <c r="I6" s="8">
        <v>45959</v>
      </c>
      <c r="J6" s="8">
        <v>47847</v>
      </c>
    </row>
    <row r="7" spans="1:10">
      <c r="A7" s="7"/>
      <c r="B7" s="9" t="s">
        <v>21</v>
      </c>
      <c r="C7" s="10" t="s">
        <v>22</v>
      </c>
      <c r="D7" s="11" t="s">
        <v>23</v>
      </c>
      <c r="E7" s="7" t="str">
        <f>VLOOKUP(D7,'[1]All Stock Flexo'!$F:$G,2,0)</f>
        <v>Spatulla Set of 3 Creamy</v>
      </c>
      <c r="F7" s="5">
        <v>1</v>
      </c>
      <c r="G7" s="6" t="s">
        <v>15</v>
      </c>
      <c r="H7" s="7" t="s">
        <v>25</v>
      </c>
      <c r="I7" s="8">
        <v>45959</v>
      </c>
      <c r="J7" s="8">
        <v>47847</v>
      </c>
    </row>
    <row r="8" spans="1:10">
      <c r="A8" s="7"/>
      <c r="B8" s="9"/>
      <c r="C8" s="9"/>
      <c r="D8" s="11" t="s">
        <v>24</v>
      </c>
      <c r="E8" s="7" t="str">
        <f>VLOOKUP(D8,'[1]All Stock Flexo'!$F:$G,2,0)</f>
        <v>KNIFE SET OF 2 - CREAMY</v>
      </c>
      <c r="F8" s="5">
        <v>1</v>
      </c>
      <c r="G8" s="6" t="s">
        <v>15</v>
      </c>
      <c r="H8" s="7" t="s">
        <v>25</v>
      </c>
      <c r="I8" s="8">
        <v>45959</v>
      </c>
      <c r="J8" s="8">
        <v>47847</v>
      </c>
    </row>
  </sheetData>
  <mergeCells count="7">
    <mergeCell ref="J1:J2"/>
    <mergeCell ref="A1:A2"/>
    <mergeCell ref="B1:C1"/>
    <mergeCell ref="D1:F1"/>
    <mergeCell ref="G1:G2"/>
    <mergeCell ref="H1:H2"/>
    <mergeCell ref="I1:I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6D3FAF-3AB5-467E-88DA-598431BC1213}">
  <dimension ref="A1:I8"/>
  <sheetViews>
    <sheetView workbookViewId="0">
      <selection sqref="A1:I8"/>
    </sheetView>
  </sheetViews>
  <sheetFormatPr defaultRowHeight="15"/>
  <cols>
    <col min="1" max="1" width="11.28515625" bestFit="1" customWidth="1"/>
    <col min="2" max="2" width="27" bestFit="1" customWidth="1"/>
    <col min="3" max="3" width="11.85546875" bestFit="1" customWidth="1"/>
    <col min="4" max="4" width="25.28515625" bestFit="1" customWidth="1"/>
    <col min="5" max="5" width="4.140625" bestFit="1" customWidth="1"/>
    <col min="6" max="6" width="7.5703125" bestFit="1" customWidth="1"/>
    <col min="7" max="7" width="14.28515625" bestFit="1" customWidth="1"/>
    <col min="8" max="9" width="10.7109375" bestFit="1" customWidth="1"/>
  </cols>
  <sheetData>
    <row r="1" spans="1:9">
      <c r="A1" s="1" t="s">
        <v>1</v>
      </c>
      <c r="B1" s="1"/>
      <c r="C1" s="2" t="s">
        <v>2</v>
      </c>
      <c r="D1" s="2"/>
      <c r="E1" s="2"/>
      <c r="F1" s="3" t="s">
        <v>3</v>
      </c>
      <c r="G1" s="3" t="s">
        <v>4</v>
      </c>
      <c r="H1" s="3" t="s">
        <v>5</v>
      </c>
      <c r="I1" s="3" t="s">
        <v>6</v>
      </c>
    </row>
    <row r="2" spans="1:9">
      <c r="A2" s="4" t="s">
        <v>7</v>
      </c>
      <c r="B2" s="4" t="s">
        <v>8</v>
      </c>
      <c r="C2" s="4" t="s">
        <v>9</v>
      </c>
      <c r="D2" s="4" t="s">
        <v>10</v>
      </c>
      <c r="E2" s="4" t="s">
        <v>11</v>
      </c>
      <c r="F2" s="3"/>
      <c r="G2" s="3"/>
      <c r="H2" s="3"/>
      <c r="I2" s="3"/>
    </row>
    <row r="3" spans="1:9">
      <c r="A3" s="9" t="s">
        <v>12</v>
      </c>
      <c r="B3" s="10" t="s">
        <v>13</v>
      </c>
      <c r="C3" s="11" t="s">
        <v>14</v>
      </c>
      <c r="D3" s="7" t="str">
        <f>VLOOKUP(C3,'[1]All Stock Flexo'!$F:$G,2,0)</f>
        <v>Spatulla Set of 3 Rosegold</v>
      </c>
      <c r="E3" s="5">
        <v>1</v>
      </c>
      <c r="F3" s="6" t="s">
        <v>27</v>
      </c>
      <c r="G3" s="7" t="s">
        <v>26</v>
      </c>
      <c r="H3" s="8">
        <v>45959</v>
      </c>
      <c r="I3" s="8">
        <v>47847</v>
      </c>
    </row>
    <row r="4" spans="1:9">
      <c r="A4" s="9"/>
      <c r="B4" s="9"/>
      <c r="C4" s="11" t="s">
        <v>16</v>
      </c>
      <c r="D4" s="7" t="str">
        <f>VLOOKUP(C4,'[1]All Stock Flexo'!$F:$G,2,0)</f>
        <v>KNIFE SET OF 2 - ROSEGOLD</v>
      </c>
      <c r="E4" s="5">
        <v>1</v>
      </c>
      <c r="F4" s="6" t="s">
        <v>27</v>
      </c>
      <c r="G4" s="7" t="s">
        <v>26</v>
      </c>
      <c r="H4" s="8">
        <v>45959</v>
      </c>
      <c r="I4" s="8">
        <v>47847</v>
      </c>
    </row>
    <row r="5" spans="1:9">
      <c r="A5" s="9" t="s">
        <v>17</v>
      </c>
      <c r="B5" s="10" t="s">
        <v>18</v>
      </c>
      <c r="C5" s="11" t="s">
        <v>19</v>
      </c>
      <c r="D5" s="7" t="str">
        <f>VLOOKUP(C5,'[1]All Stock Flexo'!$F:$G,2,0)</f>
        <v>Spatulla Set of 3 Mint</v>
      </c>
      <c r="E5" s="5">
        <v>1</v>
      </c>
      <c r="F5" s="6" t="s">
        <v>27</v>
      </c>
      <c r="G5" s="7" t="s">
        <v>26</v>
      </c>
      <c r="H5" s="8">
        <v>45959</v>
      </c>
      <c r="I5" s="8">
        <v>47847</v>
      </c>
    </row>
    <row r="6" spans="1:9">
      <c r="A6" s="9"/>
      <c r="B6" s="9"/>
      <c r="C6" s="11" t="s">
        <v>20</v>
      </c>
      <c r="D6" s="7" t="str">
        <f>VLOOKUP(C6,'[1]All Stock Flexo'!$F:$G,2,0)</f>
        <v>KNIFE SET OF 2 - GREY</v>
      </c>
      <c r="E6" s="5">
        <v>1</v>
      </c>
      <c r="F6" s="6" t="s">
        <v>27</v>
      </c>
      <c r="G6" s="7" t="s">
        <v>26</v>
      </c>
      <c r="H6" s="8">
        <v>45959</v>
      </c>
      <c r="I6" s="8">
        <v>47847</v>
      </c>
    </row>
    <row r="7" spans="1:9">
      <c r="A7" s="9" t="s">
        <v>21</v>
      </c>
      <c r="B7" s="10" t="s">
        <v>22</v>
      </c>
      <c r="C7" s="11" t="s">
        <v>23</v>
      </c>
      <c r="D7" s="7" t="str">
        <f>VLOOKUP(C7,'[1]All Stock Flexo'!$F:$G,2,0)</f>
        <v>Spatulla Set of 3 Creamy</v>
      </c>
      <c r="E7" s="5">
        <v>1</v>
      </c>
      <c r="F7" s="6" t="s">
        <v>27</v>
      </c>
      <c r="G7" s="7" t="s">
        <v>26</v>
      </c>
      <c r="H7" s="8">
        <v>45959</v>
      </c>
      <c r="I7" s="8">
        <v>47847</v>
      </c>
    </row>
    <row r="8" spans="1:9">
      <c r="A8" s="9"/>
      <c r="B8" s="9"/>
      <c r="C8" s="11" t="s">
        <v>24</v>
      </c>
      <c r="D8" s="7" t="str">
        <f>VLOOKUP(C8,'[1]All Stock Flexo'!$F:$G,2,0)</f>
        <v>KNIFE SET OF 2 - CREAMY</v>
      </c>
      <c r="E8" s="5">
        <v>1</v>
      </c>
      <c r="F8" s="6" t="s">
        <v>27</v>
      </c>
      <c r="G8" s="7" t="s">
        <v>26</v>
      </c>
      <c r="H8" s="8">
        <v>45959</v>
      </c>
      <c r="I8" s="8">
        <v>47847</v>
      </c>
    </row>
  </sheetData>
  <mergeCells count="6">
    <mergeCell ref="A1:B1"/>
    <mergeCell ref="C1:E1"/>
    <mergeCell ref="F1:F2"/>
    <mergeCell ref="G1:G2"/>
    <mergeCell ref="H1:H2"/>
    <mergeCell ref="I1:I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8AC9DB-9A67-4058-915F-3BF1707A6006}">
  <dimension ref="A1:I8"/>
  <sheetViews>
    <sheetView tabSelected="1" workbookViewId="0">
      <selection activeCell="L6" sqref="L6"/>
    </sheetView>
  </sheetViews>
  <sheetFormatPr defaultRowHeight="15"/>
  <cols>
    <col min="1" max="1" width="11.28515625" bestFit="1" customWidth="1"/>
    <col min="2" max="2" width="27" bestFit="1" customWidth="1"/>
    <col min="3" max="3" width="11.85546875" bestFit="1" customWidth="1"/>
    <col min="4" max="4" width="25.28515625" bestFit="1" customWidth="1"/>
    <col min="5" max="5" width="4.140625" bestFit="1" customWidth="1"/>
    <col min="6" max="6" width="7.5703125" bestFit="1" customWidth="1"/>
    <col min="7" max="7" width="12.140625" bestFit="1" customWidth="1"/>
    <col min="8" max="9" width="10.7109375" bestFit="1" customWidth="1"/>
  </cols>
  <sheetData>
    <row r="1" spans="1:9">
      <c r="A1" s="1" t="s">
        <v>1</v>
      </c>
      <c r="B1" s="1"/>
      <c r="C1" s="2" t="s">
        <v>2</v>
      </c>
      <c r="D1" s="2"/>
      <c r="E1" s="2"/>
      <c r="F1" s="3" t="s">
        <v>3</v>
      </c>
      <c r="G1" s="3" t="s">
        <v>4</v>
      </c>
      <c r="H1" s="3" t="s">
        <v>5</v>
      </c>
      <c r="I1" s="3" t="s">
        <v>6</v>
      </c>
    </row>
    <row r="2" spans="1:9">
      <c r="A2" s="4" t="s">
        <v>7</v>
      </c>
      <c r="B2" s="4" t="s">
        <v>8</v>
      </c>
      <c r="C2" s="4" t="s">
        <v>9</v>
      </c>
      <c r="D2" s="4" t="s">
        <v>10</v>
      </c>
      <c r="E2" s="4" t="s">
        <v>11</v>
      </c>
      <c r="F2" s="3"/>
      <c r="G2" s="3"/>
      <c r="H2" s="3"/>
      <c r="I2" s="3"/>
    </row>
    <row r="3" spans="1:9">
      <c r="A3" s="9" t="s">
        <v>12</v>
      </c>
      <c r="B3" s="10" t="s">
        <v>13</v>
      </c>
      <c r="C3" s="11" t="s">
        <v>14</v>
      </c>
      <c r="D3" s="7" t="str">
        <f>VLOOKUP(C3,'[1]All Stock Flexo'!$F:$G,2,0)</f>
        <v>Spatulla Set of 3 Rosegold</v>
      </c>
      <c r="E3" s="5">
        <v>1</v>
      </c>
      <c r="F3" s="6" t="s">
        <v>28</v>
      </c>
      <c r="G3" s="7" t="s">
        <v>26</v>
      </c>
      <c r="H3" s="8">
        <v>45959</v>
      </c>
      <c r="I3" s="8">
        <v>47847</v>
      </c>
    </row>
    <row r="4" spans="1:9">
      <c r="A4" s="9"/>
      <c r="B4" s="9"/>
      <c r="C4" s="11" t="s">
        <v>16</v>
      </c>
      <c r="D4" s="7" t="str">
        <f>VLOOKUP(C4,'[1]All Stock Flexo'!$F:$G,2,0)</f>
        <v>KNIFE SET OF 2 - ROSEGOLD</v>
      </c>
      <c r="E4" s="5">
        <v>1</v>
      </c>
      <c r="F4" s="6" t="s">
        <v>28</v>
      </c>
      <c r="G4" s="7" t="s">
        <v>26</v>
      </c>
      <c r="H4" s="8">
        <v>45959</v>
      </c>
      <c r="I4" s="8">
        <v>47847</v>
      </c>
    </row>
    <row r="5" spans="1:9">
      <c r="A5" s="9" t="s">
        <v>17</v>
      </c>
      <c r="B5" s="10" t="s">
        <v>18</v>
      </c>
      <c r="C5" s="11" t="s">
        <v>19</v>
      </c>
      <c r="D5" s="7" t="str">
        <f>VLOOKUP(C5,'[1]All Stock Flexo'!$F:$G,2,0)</f>
        <v>Spatulla Set of 3 Mint</v>
      </c>
      <c r="E5" s="5">
        <v>1</v>
      </c>
      <c r="F5" s="6" t="s">
        <v>28</v>
      </c>
      <c r="G5" s="7" t="s">
        <v>26</v>
      </c>
      <c r="H5" s="8">
        <v>45959</v>
      </c>
      <c r="I5" s="8">
        <v>47847</v>
      </c>
    </row>
    <row r="6" spans="1:9">
      <c r="A6" s="9"/>
      <c r="B6" s="9"/>
      <c r="C6" s="11" t="s">
        <v>20</v>
      </c>
      <c r="D6" s="7" t="str">
        <f>VLOOKUP(C6,'[1]All Stock Flexo'!$F:$G,2,0)</f>
        <v>KNIFE SET OF 2 - GREY</v>
      </c>
      <c r="E6" s="5">
        <v>1</v>
      </c>
      <c r="F6" s="6" t="s">
        <v>28</v>
      </c>
      <c r="G6" s="7" t="s">
        <v>26</v>
      </c>
      <c r="H6" s="8">
        <v>45959</v>
      </c>
      <c r="I6" s="8">
        <v>47847</v>
      </c>
    </row>
    <row r="7" spans="1:9">
      <c r="A7" s="9" t="s">
        <v>21</v>
      </c>
      <c r="B7" s="10" t="s">
        <v>22</v>
      </c>
      <c r="C7" s="11" t="s">
        <v>23</v>
      </c>
      <c r="D7" s="7" t="str">
        <f>VLOOKUP(C7,'[1]All Stock Flexo'!$F:$G,2,0)</f>
        <v>Spatulla Set of 3 Creamy</v>
      </c>
      <c r="E7" s="5">
        <v>1</v>
      </c>
      <c r="F7" s="6" t="s">
        <v>28</v>
      </c>
      <c r="G7" s="7" t="s">
        <v>26</v>
      </c>
      <c r="H7" s="8">
        <v>45959</v>
      </c>
      <c r="I7" s="8">
        <v>47847</v>
      </c>
    </row>
    <row r="8" spans="1:9">
      <c r="A8" s="9"/>
      <c r="B8" s="9"/>
      <c r="C8" s="11" t="s">
        <v>24</v>
      </c>
      <c r="D8" s="7" t="str">
        <f>VLOOKUP(C8,'[1]All Stock Flexo'!$F:$G,2,0)</f>
        <v>KNIFE SET OF 2 - CREAMY</v>
      </c>
      <c r="E8" s="5">
        <v>1</v>
      </c>
      <c r="F8" s="6" t="s">
        <v>28</v>
      </c>
      <c r="G8" s="7" t="s">
        <v>26</v>
      </c>
      <c r="H8" s="8">
        <v>45959</v>
      </c>
      <c r="I8" s="8">
        <v>47847</v>
      </c>
    </row>
  </sheetData>
  <mergeCells count="6">
    <mergeCell ref="A1:B1"/>
    <mergeCell ref="C1:E1"/>
    <mergeCell ref="F1:F2"/>
    <mergeCell ref="G1:G2"/>
    <mergeCell ref="H1:H2"/>
    <mergeCell ref="I1:I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System Support</dc:creator>
  <cp:lastModifiedBy>System Support</cp:lastModifiedBy>
  <dcterms:created xsi:type="dcterms:W3CDTF">2025-10-29T07:35:56Z</dcterms:created>
  <dcterms:modified xsi:type="dcterms:W3CDTF">2025-10-29T07:53:52Z</dcterms:modified>
</cp:coreProperties>
</file>