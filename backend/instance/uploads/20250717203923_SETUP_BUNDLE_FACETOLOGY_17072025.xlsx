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BFF47F1-828A-4473-94B1-27EB6015731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3" r:id="rId1"/>
    <sheet name="cms_bundle (15)" sheetId="1" r:id="rId2"/>
    <sheet name="cms_product (5)" sheetId="2" r:id="rId3"/>
  </sheets>
  <definedNames>
    <definedName name="_xlnm._FilterDatabase" localSheetId="0" hidden="1">Sheet1!$A$3:$H$3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3" l="1"/>
  <c r="O6" i="3"/>
  <c r="N6" i="3"/>
  <c r="M6" i="3"/>
  <c r="L6" i="3"/>
  <c r="K6" i="3"/>
  <c r="J6" i="3"/>
  <c r="P5" i="3"/>
  <c r="O5" i="3"/>
  <c r="N5" i="3"/>
  <c r="M5" i="3"/>
  <c r="L5" i="3"/>
  <c r="K5" i="3"/>
  <c r="J5" i="3"/>
  <c r="P4" i="3"/>
  <c r="O4" i="3"/>
  <c r="N4" i="3"/>
  <c r="M4" i="3"/>
  <c r="L4" i="3"/>
  <c r="K4" i="3"/>
  <c r="J4" i="3"/>
</calcChain>
</file>

<file path=xl/sharedStrings.xml><?xml version="1.0" encoding="utf-8"?>
<sst xmlns="http://schemas.openxmlformats.org/spreadsheetml/2006/main" count="313" uniqueCount="76">
  <si>
    <t>MainSKU</t>
  </si>
  <si>
    <t>BOMSKU</t>
  </si>
  <si>
    <t>BOMQty</t>
  </si>
  <si>
    <t>IsActive</t>
  </si>
  <si>
    <t>ShopId</t>
  </si>
  <si>
    <t>CreatedDate</t>
  </si>
  <si>
    <t>CreatedBy</t>
  </si>
  <si>
    <t>UpdatedDate</t>
  </si>
  <si>
    <t>UpdatedBy</t>
  </si>
  <si>
    <t>SingleSKU</t>
  </si>
  <si>
    <t>IsHadiah</t>
  </si>
  <si>
    <t>StartDate</t>
  </si>
  <si>
    <t>EndDate</t>
  </si>
  <si>
    <t>Multiply</t>
  </si>
  <si>
    <t>BUNDLING534</t>
  </si>
  <si>
    <t>NA18221702188</t>
  </si>
  <si>
    <t>1</t>
  </si>
  <si>
    <t>4537</t>
  </si>
  <si>
    <t>JN</t>
  </si>
  <si>
    <t>NULL</t>
  </si>
  <si>
    <t>8994460550378</t>
  </si>
  <si>
    <t>8994460550194</t>
  </si>
  <si>
    <t>4540</t>
  </si>
  <si>
    <t>4538</t>
  </si>
  <si>
    <t>4539</t>
  </si>
  <si>
    <t>4541</t>
  </si>
  <si>
    <t>product_id</t>
  </si>
  <si>
    <t>client_id</t>
  </si>
  <si>
    <t>marketplace_id</t>
  </si>
  <si>
    <t>shop_id</t>
  </si>
  <si>
    <t>product_code</t>
  </si>
  <si>
    <t>product_name</t>
  </si>
  <si>
    <t>product_desc</t>
  </si>
  <si>
    <t>barcode</t>
  </si>
  <si>
    <t>product_source</t>
  </si>
  <si>
    <t>product_type_id</t>
  </si>
  <si>
    <t>product_category_id</t>
  </si>
  <si>
    <t>product_uom_id</t>
  </si>
  <si>
    <t>product_cogst</t>
  </si>
  <si>
    <t>sales_price</t>
  </si>
  <si>
    <t>product_discount</t>
  </si>
  <si>
    <t>parent_product</t>
  </si>
  <si>
    <t>status</t>
  </si>
  <si>
    <t>created_at</t>
  </si>
  <si>
    <t>created_by</t>
  </si>
  <si>
    <t>updated_at</t>
  </si>
  <si>
    <t>updated_by</t>
  </si>
  <si>
    <t>remark</t>
  </si>
  <si>
    <t>tier</t>
  </si>
  <si>
    <t>223</t>
  </si>
  <si>
    <t>sunscreen + sunscreen acne + facial  gel 30ml</t>
  </si>
  <si>
    <t>2</t>
  </si>
  <si>
    <t>7</t>
  </si>
  <si>
    <t>0</t>
  </si>
  <si>
    <t>TRUE</t>
  </si>
  <si>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</si>
  <si>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</si>
  <si>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</si>
  <si>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</si>
  <si>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</si>
  <si>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</si>
  <si>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</si>
  <si>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</si>
  <si>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</si>
  <si>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SKU Product</t>
  </si>
  <si>
    <t>Qty</t>
  </si>
  <si>
    <t>shop_name</t>
  </si>
  <si>
    <t>marketplace_name</t>
  </si>
  <si>
    <t>Facetology</t>
  </si>
  <si>
    <t>Tiktok, Shopee, Tokopedia, Lazada, blibli</t>
  </si>
  <si>
    <t>FACETOLOGY</t>
  </si>
  <si>
    <t>BLIBLI</t>
  </si>
  <si>
    <t>LAZADA</t>
  </si>
  <si>
    <t>SHOPEE</t>
  </si>
  <si>
    <t>TIKTOK</t>
  </si>
  <si>
    <t>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</si>
</sst>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[$-421]dd\ mmmm\ yyyy\ hh:mm:ss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164" fontId="0" fillId="0" borderId="0" xfId="0" applyNumberFormat="1"/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0" fillId="0" borderId="1" xfId="0" applyBorder="1"/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49" fontId="3" fillId="2" borderId="1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/>
    </xf>
    <xf numFmtId="0" fontId="0" fillId="2" borderId="2" xfId="0" applyFill="1" applyBorder="1" applyAlignment="1">
      <alignment vertical="center"/>
    </xf>
    <xf numFmtId="14" fontId="0" fillId="2" borderId="2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3" xfId="0" applyFill="1" applyBorder="1" applyAlignment="1">
      <alignment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14" fontId="0" fillId="2" borderId="4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3" xfId="1" xr:uid="{D3E5CE9D-A296-42E0-8D71-DEE1E8206CD3}"/>
  </cellStyles>
  <dxfs count="13">
    <dxf>
      <numFmt numFmtId="165" formatCode="[$-421]dd\ mmmm\ yyyy\ hh:mm:ss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numFmt numFmtId="165" formatCode="[$-421]dd\ mmmm\ yyyy\ hh:mm:ss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17BE38-C439-4876-A28A-BC53136AB01C}" name="Table1" displayName="Table1" ref="B8:H23" totalsRowShown="0" headerRowDxfId="11" dataDxfId="10" headerRowBorderDxfId="8" tableBorderDxfId="9" totalsRowBorderDxfId="7">
  <tableColumns count="7">
    <tableColumn id="1" xr3:uid="{A2F1B04A-4F99-425C-8833-09C479F52C9E}" name="MainSKU" dataDxfId="6"/>
    <tableColumn id="2" xr3:uid="{0AC8FDC8-7F47-4CD1-ACD9-2AF595A50E13}" name="BOMSKU" dataDxfId="5"/>
    <tableColumn id="3" xr3:uid="{947EE7E5-AF13-4660-84C5-4CE498FC59C6}" name="BOMQty" dataDxfId="4"/>
    <tableColumn id="4" xr3:uid="{D7998FB9-2146-46CF-8E9E-2623421A2456}" name="shop_name" dataDxfId="3"/>
    <tableColumn id="5" xr3:uid="{3A71CF89-E9E6-4D65-B56C-963D863DD95D}" name="marketplace_name" dataDxfId="2"/>
    <tableColumn id="6" xr3:uid="{D76E0800-14BD-4CB3-B1C0-1EEC11B8CF04}" name="StartDate" dataDxfId="1"/>
    <tableColumn id="7" xr3:uid="{19FF74E8-F826-4A7C-AB72-F0F8D7C611E0}" name="End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EE30-DC6F-4CEC-A3C1-3730E6C0EFF3}">
  <dimension ref="A1:P23"/>
  <sheetViews>
    <sheetView zoomScale="85" zoomScaleNormal="85" workbookViewId="0">
      <selection activeCell="K25" sqref="K25"/>
    </sheetView>
  </sheetViews>
  <sheetFormatPr defaultRowHeight="15" x14ac:dyDescent="0.25"/>
  <cols>
    <col min="1" max="1" width="3.5703125" style="5" bestFit="1" customWidth="1"/>
    <col min="2" max="2" width="13.7109375" style="36" bestFit="1" customWidth="1"/>
    <col min="3" max="3" width="15" style="5" bestFit="1" customWidth="1"/>
    <col min="4" max="4" width="8.5703125" style="36" bestFit="1" customWidth="1"/>
    <col min="5" max="5" width="12.42578125" style="5" bestFit="1" customWidth="1"/>
    <col min="6" max="6" width="40" style="5" bestFit="1" customWidth="1"/>
    <col min="7" max="8" width="19.28515625" style="5" bestFit="1" customWidth="1"/>
    <col min="9" max="16384" width="9.140625" style="5"/>
  </cols>
  <sheetData>
    <row r="1" spans="1:16" x14ac:dyDescent="0.25">
      <c r="A1" s="2" t="s">
        <v>55</v>
      </c>
      <c r="B1" s="2"/>
      <c r="C1" s="3"/>
      <c r="D1" s="4"/>
      <c r="E1" s="3"/>
      <c r="F1" s="3"/>
      <c r="G1" s="3"/>
      <c r="H1" s="3"/>
    </row>
    <row r="2" spans="1:16" x14ac:dyDescent="0.25">
      <c r="A2" s="2" t="s">
        <v>56</v>
      </c>
      <c r="B2" s="6" t="s">
        <v>57</v>
      </c>
      <c r="C2" s="2" t="s">
        <v>58</v>
      </c>
      <c r="D2" s="7"/>
      <c r="E2" s="2" t="s">
        <v>59</v>
      </c>
      <c r="F2" s="2" t="s">
        <v>60</v>
      </c>
      <c r="G2" s="2" t="s">
        <v>61</v>
      </c>
      <c r="H2" s="2" t="s">
        <v>62</v>
      </c>
    </row>
    <row r="3" spans="1:16" x14ac:dyDescent="0.25">
      <c r="A3" s="2"/>
      <c r="B3" s="6" t="s">
        <v>63</v>
      </c>
      <c r="C3" s="6" t="s">
        <v>64</v>
      </c>
      <c r="D3" s="6" t="s">
        <v>65</v>
      </c>
      <c r="E3" s="2"/>
      <c r="F3" s="2"/>
      <c r="G3" s="2"/>
      <c r="H3" s="2"/>
      <c r="J3" s="5" t="s">
        <v>0</v>
      </c>
      <c r="K3" s="5" t="s">
        <v>1</v>
      </c>
      <c r="L3" s="5" t="s">
        <v>2</v>
      </c>
      <c r="M3" s="5" t="s">
        <v>66</v>
      </c>
      <c r="N3" s="5" t="s">
        <v>67</v>
      </c>
      <c r="O3" s="5" t="s">
        <v>11</v>
      </c>
      <c r="P3" s="5" t="s">
        <v>12</v>
      </c>
    </row>
    <row r="4" spans="1:16" x14ac:dyDescent="0.25">
      <c r="B4" s="8" t="s">
        <v>14</v>
      </c>
      <c r="C4" s="9" t="s">
        <v>15</v>
      </c>
      <c r="D4" s="10">
        <v>1</v>
      </c>
      <c r="E4" s="11" t="s">
        <v>68</v>
      </c>
      <c r="F4" s="11" t="s">
        <v>69</v>
      </c>
      <c r="G4" s="12">
        <v>45855</v>
      </c>
      <c r="H4" s="12">
        <v>47681</v>
      </c>
      <c r="J4" s="5" t="b">
        <f>B4=B9</f>
        <v>1</v>
      </c>
      <c r="K4" s="5" t="b">
        <f>C4=C9</f>
        <v>1</v>
      </c>
      <c r="L4" s="5" t="b">
        <f t="shared" ref="L4:P6" si="0">D4=D9</f>
        <v>1</v>
      </c>
      <c r="M4" s="5" t="b">
        <f t="shared" si="0"/>
        <v>1</v>
      </c>
      <c r="N4" s="5" t="b">
        <f t="shared" si="0"/>
        <v>0</v>
      </c>
      <c r="O4" s="5" t="b">
        <f t="shared" si="0"/>
        <v>1</v>
      </c>
      <c r="P4" s="5" t="b">
        <f t="shared" si="0"/>
        <v>0</v>
      </c>
    </row>
    <row r="5" spans="1:16" x14ac:dyDescent="0.25">
      <c r="B5" s="13"/>
      <c r="C5" s="14" t="s">
        <v>20</v>
      </c>
      <c r="D5" s="15">
        <v>1</v>
      </c>
      <c r="E5" s="16"/>
      <c r="F5" s="16"/>
      <c r="G5" s="17"/>
      <c r="H5" s="17"/>
      <c r="J5" s="5" t="b">
        <f t="shared" ref="J5:K6" si="1">B5=B10</f>
        <v>0</v>
      </c>
      <c r="K5" s="5" t="b">
        <f t="shared" si="1"/>
        <v>1</v>
      </c>
      <c r="L5" s="5" t="b">
        <f t="shared" si="0"/>
        <v>1</v>
      </c>
      <c r="M5" s="5" t="b">
        <f t="shared" si="0"/>
        <v>0</v>
      </c>
      <c r="N5" s="5" t="b">
        <f t="shared" si="0"/>
        <v>0</v>
      </c>
      <c r="O5" s="5" t="b">
        <f t="shared" si="0"/>
        <v>0</v>
      </c>
      <c r="P5" s="5" t="b">
        <f t="shared" si="0"/>
        <v>0</v>
      </c>
    </row>
    <row r="6" spans="1:16" x14ac:dyDescent="0.25">
      <c r="B6" s="18"/>
      <c r="C6" s="19" t="s">
        <v>21</v>
      </c>
      <c r="D6" s="20">
        <v>1</v>
      </c>
      <c r="E6" s="21"/>
      <c r="F6" s="21"/>
      <c r="G6" s="22"/>
      <c r="H6" s="22"/>
      <c r="J6" s="5" t="b">
        <f t="shared" si="1"/>
        <v>0</v>
      </c>
      <c r="K6" s="5" t="b">
        <f t="shared" si="1"/>
        <v>1</v>
      </c>
      <c r="L6" s="5" t="b">
        <f t="shared" si="0"/>
        <v>1</v>
      </c>
      <c r="M6" s="5" t="b">
        <f t="shared" si="0"/>
        <v>0</v>
      </c>
      <c r="N6" s="5" t="b">
        <f t="shared" si="0"/>
        <v>0</v>
      </c>
      <c r="O6" s="5" t="b">
        <f t="shared" si="0"/>
        <v>0</v>
      </c>
      <c r="P6" s="5" t="b">
        <f t="shared" si="0"/>
        <v>0</v>
      </c>
    </row>
    <row r="8" spans="1:16" x14ac:dyDescent="0.25">
      <c r="B8" s="23" t="s">
        <v>0</v>
      </c>
      <c r="C8" s="24" t="s">
        <v>1</v>
      </c>
      <c r="D8" s="24" t="s">
        <v>2</v>
      </c>
      <c r="E8" s="24" t="s">
        <v>66</v>
      </c>
      <c r="F8" s="24" t="s">
        <v>67</v>
      </c>
      <c r="G8" s="24" t="s">
        <v>11</v>
      </c>
      <c r="H8" s="25" t="s">
        <v>12</v>
      </c>
    </row>
    <row r="9" spans="1:16" x14ac:dyDescent="0.25">
      <c r="B9" s="26" t="s">
        <v>14</v>
      </c>
      <c r="C9" s="27" t="s">
        <v>15</v>
      </c>
      <c r="D9" s="28">
        <v>1</v>
      </c>
      <c r="E9" s="28" t="s">
        <v>70</v>
      </c>
      <c r="F9" s="28" t="s">
        <v>71</v>
      </c>
      <c r="G9" s="29">
        <v>45855</v>
      </c>
      <c r="H9" s="30">
        <v>47681.999988425923</v>
      </c>
    </row>
    <row r="10" spans="1:16" x14ac:dyDescent="0.25">
      <c r="B10" s="26" t="s">
        <v>14</v>
      </c>
      <c r="C10" s="27" t="s">
        <v>20</v>
      </c>
      <c r="D10" s="28">
        <v>1</v>
      </c>
      <c r="E10" s="28" t="s">
        <v>70</v>
      </c>
      <c r="F10" s="28" t="s">
        <v>71</v>
      </c>
      <c r="G10" s="29">
        <v>45855</v>
      </c>
      <c r="H10" s="30">
        <v>47681.999988425923</v>
      </c>
    </row>
    <row r="11" spans="1:16" x14ac:dyDescent="0.25">
      <c r="B11" s="26" t="s">
        <v>14</v>
      </c>
      <c r="C11" s="27" t="s">
        <v>21</v>
      </c>
      <c r="D11" s="28">
        <v>1</v>
      </c>
      <c r="E11" s="28" t="s">
        <v>70</v>
      </c>
      <c r="F11" s="28" t="s">
        <v>71</v>
      </c>
      <c r="G11" s="29">
        <v>45855</v>
      </c>
      <c r="H11" s="30">
        <v>47681.999988425923</v>
      </c>
    </row>
    <row r="12" spans="1:16" x14ac:dyDescent="0.25">
      <c r="B12" s="26" t="s">
        <v>14</v>
      </c>
      <c r="C12" s="27" t="s">
        <v>15</v>
      </c>
      <c r="D12" s="28">
        <v>1</v>
      </c>
      <c r="E12" s="28" t="s">
        <v>70</v>
      </c>
      <c r="F12" s="28" t="s">
        <v>72</v>
      </c>
      <c r="G12" s="29">
        <v>45855</v>
      </c>
      <c r="H12" s="30">
        <v>47681.999988425923</v>
      </c>
    </row>
    <row r="13" spans="1:16" x14ac:dyDescent="0.25">
      <c r="B13" s="26" t="s">
        <v>14</v>
      </c>
      <c r="C13" s="27" t="s">
        <v>20</v>
      </c>
      <c r="D13" s="28">
        <v>1</v>
      </c>
      <c r="E13" s="28" t="s">
        <v>70</v>
      </c>
      <c r="F13" s="28" t="s">
        <v>72</v>
      </c>
      <c r="G13" s="29">
        <v>45855</v>
      </c>
      <c r="H13" s="30">
        <v>47681.999988425923</v>
      </c>
    </row>
    <row r="14" spans="1:16" x14ac:dyDescent="0.25">
      <c r="B14" s="26" t="s">
        <v>14</v>
      </c>
      <c r="C14" s="27" t="s">
        <v>21</v>
      </c>
      <c r="D14" s="28">
        <v>1</v>
      </c>
      <c r="E14" s="28" t="s">
        <v>70</v>
      </c>
      <c r="F14" s="28" t="s">
        <v>72</v>
      </c>
      <c r="G14" s="29">
        <v>45855</v>
      </c>
      <c r="H14" s="30">
        <v>47681.999988425923</v>
      </c>
    </row>
    <row r="15" spans="1:16" x14ac:dyDescent="0.25">
      <c r="B15" s="26" t="s">
        <v>14</v>
      </c>
      <c r="C15" s="27" t="s">
        <v>15</v>
      </c>
      <c r="D15" s="28">
        <v>1</v>
      </c>
      <c r="E15" s="28" t="s">
        <v>70</v>
      </c>
      <c r="F15" s="28" t="s">
        <v>73</v>
      </c>
      <c r="G15" s="29">
        <v>45855</v>
      </c>
      <c r="H15" s="30">
        <v>47681.999988425923</v>
      </c>
    </row>
    <row r="16" spans="1:16" x14ac:dyDescent="0.25">
      <c r="B16" s="26" t="s">
        <v>14</v>
      </c>
      <c r="C16" s="27" t="s">
        <v>20</v>
      </c>
      <c r="D16" s="28">
        <v>1</v>
      </c>
      <c r="E16" s="28" t="s">
        <v>70</v>
      </c>
      <c r="F16" s="28" t="s">
        <v>73</v>
      </c>
      <c r="G16" s="29">
        <v>45855</v>
      </c>
      <c r="H16" s="30">
        <v>47681.999988425923</v>
      </c>
    </row>
    <row r="17" spans="2:8" x14ac:dyDescent="0.25">
      <c r="B17" s="26" t="s">
        <v>14</v>
      </c>
      <c r="C17" s="27" t="s">
        <v>21</v>
      </c>
      <c r="D17" s="28">
        <v>1</v>
      </c>
      <c r="E17" s="28" t="s">
        <v>70</v>
      </c>
      <c r="F17" s="28" t="s">
        <v>73</v>
      </c>
      <c r="G17" s="29">
        <v>45855</v>
      </c>
      <c r="H17" s="30">
        <v>47681.999988425923</v>
      </c>
    </row>
    <row r="18" spans="2:8" x14ac:dyDescent="0.25">
      <c r="B18" s="26" t="s">
        <v>14</v>
      </c>
      <c r="C18" s="27" t="s">
        <v>15</v>
      </c>
      <c r="D18" s="28">
        <v>1</v>
      </c>
      <c r="E18" s="28" t="s">
        <v>70</v>
      </c>
      <c r="F18" s="28" t="s">
        <v>74</v>
      </c>
      <c r="G18" s="29">
        <v>45855</v>
      </c>
      <c r="H18" s="30">
        <v>47681.999988425923</v>
      </c>
    </row>
    <row r="19" spans="2:8" x14ac:dyDescent="0.25">
      <c r="B19" s="26" t="s">
        <v>14</v>
      </c>
      <c r="C19" s="27" t="s">
        <v>20</v>
      </c>
      <c r="D19" s="28">
        <v>1</v>
      </c>
      <c r="E19" s="28" t="s">
        <v>70</v>
      </c>
      <c r="F19" s="28" t="s">
        <v>74</v>
      </c>
      <c r="G19" s="29">
        <v>45855</v>
      </c>
      <c r="H19" s="30">
        <v>47681.999988425923</v>
      </c>
    </row>
    <row r="20" spans="2:8" x14ac:dyDescent="0.25">
      <c r="B20" s="26" t="s">
        <v>14</v>
      </c>
      <c r="C20" s="27" t="s">
        <v>21</v>
      </c>
      <c r="D20" s="28">
        <v>1</v>
      </c>
      <c r="E20" s="28" t="s">
        <v>70</v>
      </c>
      <c r="F20" s="28" t="s">
        <v>74</v>
      </c>
      <c r="G20" s="29">
        <v>45855</v>
      </c>
      <c r="H20" s="30">
        <v>47681.999988425923</v>
      </c>
    </row>
    <row r="21" spans="2:8" x14ac:dyDescent="0.25">
      <c r="B21" s="26" t="s">
        <v>14</v>
      </c>
      <c r="C21" s="27" t="s">
        <v>15</v>
      </c>
      <c r="D21" s="28">
        <v>1</v>
      </c>
      <c r="E21" s="28" t="s">
        <v>70</v>
      </c>
      <c r="F21" s="28" t="s">
        <v>75</v>
      </c>
      <c r="G21" s="29">
        <v>45855</v>
      </c>
      <c r="H21" s="30">
        <v>47681.999988425923</v>
      </c>
    </row>
    <row r="22" spans="2:8" x14ac:dyDescent="0.25">
      <c r="B22" s="26" t="s">
        <v>14</v>
      </c>
      <c r="C22" s="27" t="s">
        <v>20</v>
      </c>
      <c r="D22" s="28">
        <v>1</v>
      </c>
      <c r="E22" s="28" t="s">
        <v>70</v>
      </c>
      <c r="F22" s="28" t="s">
        <v>75</v>
      </c>
      <c r="G22" s="29">
        <v>45855</v>
      </c>
      <c r="H22" s="30">
        <v>47681.999988425923</v>
      </c>
    </row>
    <row r="23" spans="2:8" x14ac:dyDescent="0.25">
      <c r="B23" s="31" t="s">
        <v>14</v>
      </c>
      <c r="C23" s="32" t="s">
        <v>21</v>
      </c>
      <c r="D23" s="33">
        <v>1</v>
      </c>
      <c r="E23" s="33" t="s">
        <v>70</v>
      </c>
      <c r="F23" s="33" t="s">
        <v>75</v>
      </c>
      <c r="G23" s="34">
        <v>45855</v>
      </c>
      <c r="H23" s="35">
        <v>47681.999988425923</v>
      </c>
    </row>
  </sheetData>
  <mergeCells count="12">
    <mergeCell ref="H2:H3"/>
    <mergeCell ref="B4:B6"/>
    <mergeCell ref="E4:E6"/>
    <mergeCell ref="F4:F6"/>
    <mergeCell ref="G4:G6"/>
    <mergeCell ref="H4:H6"/>
    <mergeCell ref="A1:B1"/>
    <mergeCell ref="A2:A3"/>
    <mergeCell ref="C2:D2"/>
    <mergeCell ref="E2:E3"/>
    <mergeCell ref="F2:F3"/>
    <mergeCell ref="G2:G3"/>
  </mergeCells>
  <conditionalFormatting sqref="K4:P6">
    <cfRule type="cellIs" dxfId="12" priority="1" operator="equal">
      <formula>FALSE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workbookViewId="0">
      <selection activeCell="A2" sqref="A2:N16"/>
    </sheetView>
  </sheetViews>
  <sheetFormatPr defaultRowHeight="15" x14ac:dyDescent="0.25"/>
  <cols>
    <col min="1" max="1" width="13.42578125" bestFit="1" customWidth="1"/>
    <col min="2" max="2" width="14.85546875" bestFit="1" customWidth="1"/>
    <col min="3" max="3" width="8.42578125" bestFit="1" customWidth="1"/>
    <col min="4" max="4" width="8" bestFit="1" customWidth="1"/>
    <col min="5" max="5" width="7.140625" bestFit="1" customWidth="1"/>
    <col min="6" max="6" width="18.28515625" bestFit="1" customWidth="1"/>
    <col min="7" max="7" width="10.140625" bestFit="1" customWidth="1"/>
    <col min="8" max="8" width="12.7109375" bestFit="1" customWidth="1"/>
    <col min="9" max="9" width="10.7109375" bestFit="1" customWidth="1"/>
    <col min="10" max="10" width="9.85546875" bestFit="1" customWidth="1"/>
    <col min="11" max="11" width="8.5703125" bestFit="1" customWidth="1"/>
    <col min="12" max="12" width="17.28515625" bestFit="1" customWidth="1"/>
    <col min="13" max="13" width="18.28515625" bestFit="1" customWidth="1"/>
    <col min="14" max="14" width="8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b">
        <v>1</v>
      </c>
      <c r="E2" t="s">
        <v>17</v>
      </c>
      <c r="F2" s="1">
        <v>45855.676365740743</v>
      </c>
      <c r="G2" t="s">
        <v>18</v>
      </c>
      <c r="I2" t="s">
        <v>19</v>
      </c>
      <c r="J2" t="b">
        <v>0</v>
      </c>
      <c r="K2" t="b">
        <v>0</v>
      </c>
      <c r="L2" s="1">
        <v>45855</v>
      </c>
      <c r="M2" s="1">
        <v>47681.999988425923</v>
      </c>
      <c r="N2" t="b">
        <v>1</v>
      </c>
    </row>
    <row r="3" spans="1:14" x14ac:dyDescent="0.25">
      <c r="A3" t="s">
        <v>14</v>
      </c>
      <c r="B3" t="s">
        <v>20</v>
      </c>
      <c r="C3" t="s">
        <v>16</v>
      </c>
      <c r="D3" t="b">
        <v>1</v>
      </c>
      <c r="E3" t="s">
        <v>17</v>
      </c>
      <c r="F3" s="1">
        <v>45855.676365740743</v>
      </c>
      <c r="G3" t="s">
        <v>18</v>
      </c>
      <c r="I3" t="s">
        <v>19</v>
      </c>
      <c r="J3" t="b">
        <v>0</v>
      </c>
      <c r="K3" t="b">
        <v>0</v>
      </c>
      <c r="L3" s="1">
        <v>45855</v>
      </c>
      <c r="M3" s="1">
        <v>47681.999988425923</v>
      </c>
      <c r="N3" t="b">
        <v>1</v>
      </c>
    </row>
    <row r="4" spans="1:14" x14ac:dyDescent="0.25">
      <c r="A4" t="s">
        <v>14</v>
      </c>
      <c r="B4" t="s">
        <v>21</v>
      </c>
      <c r="C4" t="s">
        <v>16</v>
      </c>
      <c r="D4" t="b">
        <v>1</v>
      </c>
      <c r="E4" t="s">
        <v>17</v>
      </c>
      <c r="F4" s="1">
        <v>45855.676365740743</v>
      </c>
      <c r="G4" t="s">
        <v>18</v>
      </c>
      <c r="I4" t="s">
        <v>19</v>
      </c>
      <c r="J4" t="b">
        <v>0</v>
      </c>
      <c r="K4" t="b">
        <v>0</v>
      </c>
      <c r="L4" s="1">
        <v>45855</v>
      </c>
      <c r="M4" s="1">
        <v>47681.999988425923</v>
      </c>
      <c r="N4" t="b">
        <v>1</v>
      </c>
    </row>
    <row r="5" spans="1:14" x14ac:dyDescent="0.25">
      <c r="A5" t="s">
        <v>14</v>
      </c>
      <c r="B5" t="s">
        <v>15</v>
      </c>
      <c r="C5" t="s">
        <v>16</v>
      </c>
      <c r="D5" t="b">
        <v>1</v>
      </c>
      <c r="E5" t="s">
        <v>22</v>
      </c>
      <c r="F5" s="1">
        <v>45855.676365740743</v>
      </c>
      <c r="G5" t="s">
        <v>18</v>
      </c>
      <c r="I5" t="s">
        <v>19</v>
      </c>
      <c r="J5" t="b">
        <v>0</v>
      </c>
      <c r="K5" t="b">
        <v>0</v>
      </c>
      <c r="L5" s="1">
        <v>45855</v>
      </c>
      <c r="M5" s="1">
        <v>47681.999988425923</v>
      </c>
      <c r="N5" t="b">
        <v>1</v>
      </c>
    </row>
    <row r="6" spans="1:14" x14ac:dyDescent="0.25">
      <c r="A6" t="s">
        <v>14</v>
      </c>
      <c r="B6" t="s">
        <v>20</v>
      </c>
      <c r="C6" t="s">
        <v>16</v>
      </c>
      <c r="D6" t="b">
        <v>1</v>
      </c>
      <c r="E6" t="s">
        <v>22</v>
      </c>
      <c r="F6" s="1">
        <v>45855.676365740743</v>
      </c>
      <c r="G6" t="s">
        <v>18</v>
      </c>
      <c r="I6" t="s">
        <v>19</v>
      </c>
      <c r="J6" t="b">
        <v>0</v>
      </c>
      <c r="K6" t="b">
        <v>0</v>
      </c>
      <c r="L6" s="1">
        <v>45855</v>
      </c>
      <c r="M6" s="1">
        <v>47681.999988425923</v>
      </c>
      <c r="N6" t="b">
        <v>1</v>
      </c>
    </row>
    <row r="7" spans="1:14" x14ac:dyDescent="0.25">
      <c r="A7" t="s">
        <v>14</v>
      </c>
      <c r="B7" t="s">
        <v>21</v>
      </c>
      <c r="C7" t="s">
        <v>16</v>
      </c>
      <c r="D7" t="b">
        <v>1</v>
      </c>
      <c r="E7" t="s">
        <v>22</v>
      </c>
      <c r="F7" s="1">
        <v>45855.676365740743</v>
      </c>
      <c r="G7" t="s">
        <v>18</v>
      </c>
      <c r="I7" t="s">
        <v>19</v>
      </c>
      <c r="J7" t="b">
        <v>0</v>
      </c>
      <c r="K7" t="b">
        <v>0</v>
      </c>
      <c r="L7" s="1">
        <v>45855</v>
      </c>
      <c r="M7" s="1">
        <v>47681.999988425923</v>
      </c>
      <c r="N7" t="b">
        <v>1</v>
      </c>
    </row>
    <row r="8" spans="1:14" x14ac:dyDescent="0.25">
      <c r="A8" t="s">
        <v>14</v>
      </c>
      <c r="B8" t="s">
        <v>15</v>
      </c>
      <c r="C8" t="s">
        <v>16</v>
      </c>
      <c r="D8" t="b">
        <v>1</v>
      </c>
      <c r="E8" t="s">
        <v>23</v>
      </c>
      <c r="F8" s="1">
        <v>45855.676365740743</v>
      </c>
      <c r="G8" t="s">
        <v>18</v>
      </c>
      <c r="I8" t="s">
        <v>19</v>
      </c>
      <c r="J8" t="b">
        <v>0</v>
      </c>
      <c r="K8" t="b">
        <v>0</v>
      </c>
      <c r="L8" s="1">
        <v>45855</v>
      </c>
      <c r="M8" s="1">
        <v>47681.999988425923</v>
      </c>
      <c r="N8" t="b">
        <v>1</v>
      </c>
    </row>
    <row r="9" spans="1:14" x14ac:dyDescent="0.25">
      <c r="A9" t="s">
        <v>14</v>
      </c>
      <c r="B9" t="s">
        <v>20</v>
      </c>
      <c r="C9" t="s">
        <v>16</v>
      </c>
      <c r="D9" t="b">
        <v>1</v>
      </c>
      <c r="E9" t="s">
        <v>23</v>
      </c>
      <c r="F9" s="1">
        <v>45855.676365740743</v>
      </c>
      <c r="G9" t="s">
        <v>18</v>
      </c>
      <c r="I9" t="s">
        <v>19</v>
      </c>
      <c r="J9" t="b">
        <v>0</v>
      </c>
      <c r="K9" t="b">
        <v>0</v>
      </c>
      <c r="L9" s="1">
        <v>45855</v>
      </c>
      <c r="M9" s="1">
        <v>47681.999988425923</v>
      </c>
      <c r="N9" t="b">
        <v>1</v>
      </c>
    </row>
    <row r="10" spans="1:14" x14ac:dyDescent="0.25">
      <c r="A10" t="s">
        <v>14</v>
      </c>
      <c r="B10" t="s">
        <v>21</v>
      </c>
      <c r="C10" t="s">
        <v>16</v>
      </c>
      <c r="D10" t="b">
        <v>1</v>
      </c>
      <c r="E10" t="s">
        <v>23</v>
      </c>
      <c r="F10" s="1">
        <v>45855.676365740743</v>
      </c>
      <c r="G10" t="s">
        <v>18</v>
      </c>
      <c r="I10" t="s">
        <v>19</v>
      </c>
      <c r="J10" t="b">
        <v>0</v>
      </c>
      <c r="K10" t="b">
        <v>0</v>
      </c>
      <c r="L10" s="1">
        <v>45855</v>
      </c>
      <c r="M10" s="1">
        <v>47681.999988425923</v>
      </c>
      <c r="N10" t="b">
        <v>1</v>
      </c>
    </row>
    <row r="11" spans="1:14" x14ac:dyDescent="0.25">
      <c r="A11" t="s">
        <v>14</v>
      </c>
      <c r="B11" t="s">
        <v>15</v>
      </c>
      <c r="C11" t="s">
        <v>16</v>
      </c>
      <c r="D11" t="b">
        <v>1</v>
      </c>
      <c r="E11" t="s">
        <v>24</v>
      </c>
      <c r="F11" s="1">
        <v>45855.676365740743</v>
      </c>
      <c r="G11" t="s">
        <v>18</v>
      </c>
      <c r="I11" t="s">
        <v>19</v>
      </c>
      <c r="J11" t="b">
        <v>0</v>
      </c>
      <c r="K11" t="b">
        <v>0</v>
      </c>
      <c r="L11" s="1">
        <v>45855</v>
      </c>
      <c r="M11" s="1">
        <v>47681.999988425923</v>
      </c>
      <c r="N11" t="b">
        <v>1</v>
      </c>
    </row>
    <row r="12" spans="1:14" x14ac:dyDescent="0.25">
      <c r="A12" t="s">
        <v>14</v>
      </c>
      <c r="B12" t="s">
        <v>20</v>
      </c>
      <c r="C12" t="s">
        <v>16</v>
      </c>
      <c r="D12" t="b">
        <v>1</v>
      </c>
      <c r="E12" t="s">
        <v>24</v>
      </c>
      <c r="F12" s="1">
        <v>45855.676365740743</v>
      </c>
      <c r="G12" t="s">
        <v>18</v>
      </c>
      <c r="I12" t="s">
        <v>19</v>
      </c>
      <c r="J12" t="b">
        <v>0</v>
      </c>
      <c r="K12" t="b">
        <v>0</v>
      </c>
      <c r="L12" s="1">
        <v>45855</v>
      </c>
      <c r="M12" s="1">
        <v>47681.999988425923</v>
      </c>
      <c r="N12" t="b">
        <v>1</v>
      </c>
    </row>
    <row r="13" spans="1:14" x14ac:dyDescent="0.25">
      <c r="A13" t="s">
        <v>14</v>
      </c>
      <c r="B13" t="s">
        <v>21</v>
      </c>
      <c r="C13" t="s">
        <v>16</v>
      </c>
      <c r="D13" t="b">
        <v>1</v>
      </c>
      <c r="E13" t="s">
        <v>24</v>
      </c>
      <c r="F13" s="1">
        <v>45855.676365740743</v>
      </c>
      <c r="G13" t="s">
        <v>18</v>
      </c>
      <c r="I13" t="s">
        <v>19</v>
      </c>
      <c r="J13" t="b">
        <v>0</v>
      </c>
      <c r="K13" t="b">
        <v>0</v>
      </c>
      <c r="L13" s="1">
        <v>45855</v>
      </c>
      <c r="M13" s="1">
        <v>47681.999988425923</v>
      </c>
      <c r="N13" t="b">
        <v>1</v>
      </c>
    </row>
    <row r="14" spans="1:14" x14ac:dyDescent="0.25">
      <c r="A14" t="s">
        <v>14</v>
      </c>
      <c r="B14" t="s">
        <v>15</v>
      </c>
      <c r="C14" t="s">
        <v>16</v>
      </c>
      <c r="D14" t="b">
        <v>1</v>
      </c>
      <c r="E14" t="s">
        <v>25</v>
      </c>
      <c r="F14" s="1">
        <v>45855.676365740743</v>
      </c>
      <c r="G14" t="s">
        <v>18</v>
      </c>
      <c r="I14" t="s">
        <v>19</v>
      </c>
      <c r="J14" t="b">
        <v>0</v>
      </c>
      <c r="K14" t="b">
        <v>0</v>
      </c>
      <c r="L14" s="1">
        <v>45855</v>
      </c>
      <c r="M14" s="1">
        <v>47681.999988425923</v>
      </c>
      <c r="N14" t="b">
        <v>1</v>
      </c>
    </row>
    <row r="15" spans="1:14" x14ac:dyDescent="0.25">
      <c r="A15" t="s">
        <v>14</v>
      </c>
      <c r="B15" t="s">
        <v>20</v>
      </c>
      <c r="C15" t="s">
        <v>16</v>
      </c>
      <c r="D15" t="b">
        <v>1</v>
      </c>
      <c r="E15" t="s">
        <v>25</v>
      </c>
      <c r="F15" s="1">
        <v>45855.676365740743</v>
      </c>
      <c r="G15" t="s">
        <v>18</v>
      </c>
      <c r="I15" t="s">
        <v>19</v>
      </c>
      <c r="J15" t="b">
        <v>0</v>
      </c>
      <c r="K15" t="b">
        <v>0</v>
      </c>
      <c r="L15" s="1">
        <v>45855</v>
      </c>
      <c r="M15" s="1">
        <v>47681.999988425923</v>
      </c>
      <c r="N15" t="b">
        <v>1</v>
      </c>
    </row>
    <row r="16" spans="1:14" x14ac:dyDescent="0.25">
      <c r="A16" t="s">
        <v>14</v>
      </c>
      <c r="B16" t="s">
        <v>21</v>
      </c>
      <c r="C16" t="s">
        <v>16</v>
      </c>
      <c r="D16" t="b">
        <v>1</v>
      </c>
      <c r="E16" t="s">
        <v>25</v>
      </c>
      <c r="F16" s="1">
        <v>45855.676365740743</v>
      </c>
      <c r="G16" t="s">
        <v>18</v>
      </c>
      <c r="I16" t="s">
        <v>19</v>
      </c>
      <c r="J16" t="b">
        <v>0</v>
      </c>
      <c r="K16" t="b">
        <v>0</v>
      </c>
      <c r="L16" s="1">
        <v>45855</v>
      </c>
      <c r="M16" s="1">
        <v>47681.999988425923</v>
      </c>
      <c r="N1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"/>
  <sheetViews>
    <sheetView tabSelected="1" workbookViewId="0">
      <selection activeCell="T11" sqref="T11"/>
    </sheetView>
  </sheetViews>
  <sheetFormatPr defaultRowHeight="15" x14ac:dyDescent="0.25"/>
  <sheetData>
    <row r="1" spans="1:23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</row>
    <row r="2" spans="1:23" x14ac:dyDescent="0.25">
      <c r="B2" t="s">
        <v>49</v>
      </c>
      <c r="C2">
        <v>2</v>
      </c>
      <c r="D2" t="s">
        <v>17</v>
      </c>
      <c r="E2" t="s">
        <v>14</v>
      </c>
      <c r="F2" t="s">
        <v>50</v>
      </c>
      <c r="G2" t="s">
        <v>50</v>
      </c>
      <c r="H2" t="s">
        <v>14</v>
      </c>
      <c r="I2" t="s">
        <v>19</v>
      </c>
      <c r="J2" t="s">
        <v>51</v>
      </c>
      <c r="K2" t="s">
        <v>52</v>
      </c>
      <c r="L2" t="s">
        <v>16</v>
      </c>
      <c r="M2" t="s">
        <v>53</v>
      </c>
      <c r="N2" t="s">
        <v>53</v>
      </c>
      <c r="O2" t="s">
        <v>53</v>
      </c>
      <c r="P2" t="s">
        <v>19</v>
      </c>
      <c r="Q2" t="s">
        <v>54</v>
      </c>
      <c r="R2" s="1">
        <v>45855.676365740743</v>
      </c>
      <c r="S2" t="s">
        <v>18</v>
      </c>
      <c r="T2" s="1">
        <v>45855.676365740743</v>
      </c>
      <c r="U2" t="s">
        <v>18</v>
      </c>
      <c r="V2" t="s">
        <v>19</v>
      </c>
      <c r="W2" t="s">
        <v>54</v>
      </c>
    </row>
    <row r="3" spans="1:23" x14ac:dyDescent="0.25">
      <c r="B3" t="s">
        <v>49</v>
      </c>
      <c r="C3">
        <v>11</v>
      </c>
      <c r="D3" t="s">
        <v>22</v>
      </c>
      <c r="E3" t="s">
        <v>14</v>
      </c>
      <c r="F3" t="s">
        <v>50</v>
      </c>
      <c r="G3" t="s">
        <v>50</v>
      </c>
      <c r="H3" t="s">
        <v>14</v>
      </c>
      <c r="I3" t="s">
        <v>19</v>
      </c>
      <c r="J3" t="s">
        <v>51</v>
      </c>
      <c r="K3" t="s">
        <v>52</v>
      </c>
      <c r="L3" t="s">
        <v>16</v>
      </c>
      <c r="M3" t="s">
        <v>53</v>
      </c>
      <c r="N3" t="s">
        <v>53</v>
      </c>
      <c r="O3" t="s">
        <v>53</v>
      </c>
      <c r="P3" t="s">
        <v>19</v>
      </c>
      <c r="Q3" t="s">
        <v>54</v>
      </c>
      <c r="R3" s="1">
        <v>45855.676365740743</v>
      </c>
      <c r="S3" t="s">
        <v>18</v>
      </c>
      <c r="T3" s="1">
        <v>45855.676365740743</v>
      </c>
      <c r="U3" t="s">
        <v>18</v>
      </c>
      <c r="V3" t="s">
        <v>19</v>
      </c>
      <c r="W3" t="s">
        <v>54</v>
      </c>
    </row>
    <row r="4" spans="1:23" x14ac:dyDescent="0.25">
      <c r="B4" t="s">
        <v>49</v>
      </c>
      <c r="C4">
        <v>1</v>
      </c>
      <c r="D4" t="s">
        <v>23</v>
      </c>
      <c r="E4" t="s">
        <v>14</v>
      </c>
      <c r="F4" t="s">
        <v>50</v>
      </c>
      <c r="G4" t="s">
        <v>50</v>
      </c>
      <c r="H4" t="s">
        <v>14</v>
      </c>
      <c r="I4" t="s">
        <v>19</v>
      </c>
      <c r="J4" t="s">
        <v>51</v>
      </c>
      <c r="K4" t="s">
        <v>52</v>
      </c>
      <c r="L4" t="s">
        <v>16</v>
      </c>
      <c r="M4" t="s">
        <v>53</v>
      </c>
      <c r="N4" t="s">
        <v>53</v>
      </c>
      <c r="O4" t="s">
        <v>53</v>
      </c>
      <c r="P4" t="s">
        <v>19</v>
      </c>
      <c r="Q4" t="s">
        <v>54</v>
      </c>
      <c r="R4" s="1">
        <v>45855.676365740743</v>
      </c>
      <c r="S4" t="s">
        <v>18</v>
      </c>
      <c r="T4" s="1">
        <v>45855.676365740743</v>
      </c>
      <c r="U4" t="s">
        <v>18</v>
      </c>
      <c r="V4" t="s">
        <v>19</v>
      </c>
      <c r="W4" t="s">
        <v>54</v>
      </c>
    </row>
    <row r="5" spans="1:23" x14ac:dyDescent="0.25">
      <c r="B5" t="s">
        <v>49</v>
      </c>
      <c r="C5">
        <v>3</v>
      </c>
      <c r="D5" t="s">
        <v>24</v>
      </c>
      <c r="E5" t="s">
        <v>14</v>
      </c>
      <c r="F5" t="s">
        <v>50</v>
      </c>
      <c r="G5" t="s">
        <v>50</v>
      </c>
      <c r="H5" t="s">
        <v>14</v>
      </c>
      <c r="I5" t="s">
        <v>19</v>
      </c>
      <c r="J5" t="s">
        <v>51</v>
      </c>
      <c r="K5" t="s">
        <v>52</v>
      </c>
      <c r="L5" t="s">
        <v>16</v>
      </c>
      <c r="M5" t="s">
        <v>53</v>
      </c>
      <c r="N5" t="s">
        <v>53</v>
      </c>
      <c r="O5" t="s">
        <v>53</v>
      </c>
      <c r="P5" t="s">
        <v>19</v>
      </c>
      <c r="Q5" t="s">
        <v>54</v>
      </c>
      <c r="R5" s="1">
        <v>45855.676365740743</v>
      </c>
      <c r="S5" t="s">
        <v>18</v>
      </c>
      <c r="T5" s="1">
        <v>45855.676365740743</v>
      </c>
      <c r="U5" t="s">
        <v>18</v>
      </c>
      <c r="V5" t="s">
        <v>19</v>
      </c>
      <c r="W5" t="s">
        <v>54</v>
      </c>
    </row>
    <row r="6" spans="1:23" x14ac:dyDescent="0.25">
      <c r="B6" t="s">
        <v>49</v>
      </c>
      <c r="C6">
        <v>7</v>
      </c>
      <c r="D6" t="s">
        <v>25</v>
      </c>
      <c r="E6" t="s">
        <v>14</v>
      </c>
      <c r="F6" t="s">
        <v>50</v>
      </c>
      <c r="G6" t="s">
        <v>50</v>
      </c>
      <c r="H6" t="s">
        <v>14</v>
      </c>
      <c r="I6" t="s">
        <v>19</v>
      </c>
      <c r="J6" t="s">
        <v>51</v>
      </c>
      <c r="K6" t="s">
        <v>52</v>
      </c>
      <c r="L6" t="s">
        <v>16</v>
      </c>
      <c r="M6" t="s">
        <v>53</v>
      </c>
      <c r="N6" t="s">
        <v>53</v>
      </c>
      <c r="O6" t="s">
        <v>53</v>
      </c>
      <c r="P6" t="s">
        <v>19</v>
      </c>
      <c r="Q6" t="s">
        <v>54</v>
      </c>
      <c r="R6" s="1">
        <v>45855.676365740743</v>
      </c>
      <c r="S6" t="s">
        <v>18</v>
      </c>
      <c r="T6" s="1">
        <v>45855.676365740743</v>
      </c>
      <c r="U6" t="s">
        <v>18</v>
      </c>
      <c r="V6" t="s">
        <v>19</v>
      </c>
      <c r="W6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cms_bundle (15)</vt:lpstr>
      <vt:lpstr>cms_product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Software Solution</cp:lastModifiedBy>
  <dcterms:created xsi:type="dcterms:W3CDTF">2025-07-17T09:13:58Z</dcterms:created>
  <dcterms:modified xsi:type="dcterms:W3CDTF">2025-07-17T09:35:32Z</dcterms:modified>
</cp:coreProperties>
</file>