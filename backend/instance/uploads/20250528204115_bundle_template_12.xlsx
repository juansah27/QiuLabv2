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4561E98-D984-40B7-8C5D-C402809BAB2B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definedNames>
    <definedName name="_xlnm._FilterDatabase" localSheetId="3" hidden="1">'Form Bundle'!$A$1:$J$56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4" l="1"/>
  <c r="I56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<sst xmlns="http://schemas.openxmlformats.org/spreadsheetml/2006/main" count="4290938158" uniqueCount="4294964572">
  <si>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</si>
  <si>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</si>
  <si>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</si>
  <si>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</si>
  <si>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</si>
  <si>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</si>
  <si>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</si>
  <si>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</si>
  <si>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</si>
  <si>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</si>
  <si>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</si>
  <si>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</si>
  <si>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</si>
  <si>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</si>
  <si>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SKUComponent1</t>
  </si>
  <si>
    <t>SKUComponent2</t>
  </si>
  <si>
    <t>SKUComponent3</t>
  </si>
  <si>
    <t>SKUComponent4</t>
  </si>
  <si>
    <t>SKUComponent5</t>
  </si>
  <si>
    <t>Deskripsi komponen1</t>
  </si>
  <si>
    <t>Deskripsi komponen2</t>
  </si>
  <si>
    <t>Deskripsi komponen3</t>
  </si>
  <si>
    <t>Deskripsi komponen4</t>
  </si>
  <si>
    <t>Deskripsi komponen5</t>
  </si>
  <si>
    <t>CMS-035</t>
  </si>
  <si>
    <t>ALPH</t>
  </si>
  <si>
    <t>RGFBLS202311310JOY02</t>
  </si>
  <si>
    <t>GTC_MP001-PCK-R</t>
  </si>
  <si>
    <t>GTC_MP001-PCS-R</t>
  </si>
  <si>
    <t>UY_MP001-PCK-R</t>
  </si>
  <si>
    <t>HY_MP001-PCK-R</t>
  </si>
  <si>
    <t>FH_MP001-PCK-R</t>
  </si>
  <si>
    <t>TUMBLR</t>
  </si>
  <si>
    <t>GIFTREALFOODSS</t>
  </si>
  <si>
    <t>GIFTREALFOODJL</t>
  </si>
  <si>
    <t>PRPACKAGE-SERAGAM</t>
  </si>
  <si>
    <t>PRPACKAGE-NONSERAGAM</t>
  </si>
  <si>
    <t>BDL-FM</t>
  </si>
  <si>
    <t>RGFGWP2505CRD10RBY16</t>
  </si>
  <si>
    <t>NLMIRROR</t>
  </si>
  <si>
    <t>GMS-NED-037</t>
  </si>
  <si>
    <t>GMS-NED-014</t>
  </si>
  <si>
    <t>GWP-21</t>
  </si>
  <si>
    <t>NTR-001</t>
  </si>
  <si>
    <t>NTR-002</t>
  </si>
  <si>
    <t>NTR-003</t>
  </si>
  <si>
    <t>NTR-005</t>
  </si>
  <si>
    <t>NTR-006</t>
  </si>
  <si>
    <t>NTR-007</t>
  </si>
  <si>
    <t>NTR-008</t>
  </si>
  <si>
    <t>NTR-009</t>
  </si>
  <si>
    <t>NTR-011</t>
  </si>
  <si>
    <t>NTR-013</t>
  </si>
  <si>
    <t>NTR-014</t>
  </si>
  <si>
    <t>NTR-015</t>
  </si>
  <si>
    <t>NTR-016</t>
  </si>
  <si>
    <t>NTR-017</t>
  </si>
  <si>
    <t>NTR-019</t>
  </si>
  <si>
    <t>NTR-020</t>
  </si>
  <si>
    <t>NTR-021</t>
  </si>
  <si>
    <t>NTR-022</t>
  </si>
  <si>
    <t>NTR-023</t>
  </si>
  <si>
    <t>NTR-024</t>
  </si>
  <si>
    <t>NTR-028</t>
  </si>
  <si>
    <t>NTR-029</t>
  </si>
  <si>
    <t>NTR-030</t>
  </si>
  <si>
    <t>Keychain</t>
  </si>
  <si>
    <t>PDRN-SM</t>
  </si>
  <si>
    <t>0307-002889</t>
  </si>
  <si>
    <t>0307-002891</t>
  </si>
  <si>
    <t>0307-002893</t>
  </si>
  <si>
    <t>KatalogFCT</t>
  </si>
  <si>
    <t>KatalogSCR</t>
  </si>
  <si>
    <t>MTGW-30</t>
  </si>
  <si>
    <t>G0200046</t>
  </si>
  <si>
    <t>9999918210254</t>
  </si>
  <si>
    <t>6997015191165</t>
  </si>
  <si>
    <t>6997015191196</t>
  </si>
  <si>
    <t>CARDIONIX</t>
  </si>
  <si>
    <t>ALPHA+ 3% ALPHA ARBUTIN HIGH POTENCY SERUM</t>
  </si>
  <si>
    <t>Rahasia x Naura - Mood Matcher Liquid Blush - Feel Like Joy</t>
  </si>
  <si>
    <t>NACIFIC GREEN TEA COLLAGEN GEL MASK (1 BOX) - RESELLER</t>
  </si>
  <si>
    <t>NACIFIC GREEN TEA COLLAGEN GEL MASK (1 SHEET) - RESELLER</t>
  </si>
  <si>
    <t>NACIFIC UYU CREAM NOURISHING SHEET MASK - RESELLER</t>
  </si>
  <si>
    <t>NACIFIC HYAL PANTHENOL HYDRATING SHEET MASK - RESELLER</t>
  </si>
  <si>
    <t>NACIFIC ORIGIN PEPTIDE REVIVING SHEET MASK -RESELLER</t>
  </si>
  <si>
    <t>Gimmick Interlac x Lock n Lock Tumblr</t>
  </si>
  <si>
    <t xml:space="preserve">[GIFT]  REALFOOD Sunscreen </t>
  </si>
  <si>
    <t>[GIFT]  REALFOOD Jelly</t>
  </si>
  <si>
    <t>Mustela First Moments Bundle</t>
  </si>
  <si>
    <t>Photocard - Brandon Salim</t>
  </si>
  <si>
    <t>[FREE GIFT] Nurilab - Folded Mirror (Kaca Cermin Exclusive Nurilab)</t>
  </si>
  <si>
    <t>Keychain Bitty Balm Gift (GWP)</t>
  </si>
  <si>
    <t>HEMOLAB - NED</t>
  </si>
  <si>
    <t>SLIMMAX NEW - NED</t>
  </si>
  <si>
    <t>Nail Polish Tone Official</t>
  </si>
  <si>
    <t>DIACLOSE</t>
  </si>
  <si>
    <t>GLUCOACTIVE ID</t>
  </si>
  <si>
    <t>MEGAMOVE</t>
  </si>
  <si>
    <t>VISMAX</t>
  </si>
  <si>
    <t>EYECAPS</t>
  </si>
  <si>
    <t>MEGABURN-ID</t>
  </si>
  <si>
    <t>MENDURO</t>
  </si>
  <si>
    <t>PARACLEAN</t>
  </si>
  <si>
    <t>COLLAWHITE</t>
  </si>
  <si>
    <t>COLLAWHITE NEW</t>
  </si>
  <si>
    <t>HEMONIX</t>
  </si>
  <si>
    <t>HEMOLAB</t>
  </si>
  <si>
    <t>MEGABURN NEW</t>
  </si>
  <si>
    <t>TENSIMIN</t>
  </si>
  <si>
    <t>PROSTANIX-ID</t>
  </si>
  <si>
    <t>TRUBONITA-ID</t>
  </si>
  <si>
    <t>HALIPIX-ID</t>
  </si>
  <si>
    <t>PURONIX-ID</t>
  </si>
  <si>
    <t>FORMASLIM-ID</t>
  </si>
  <si>
    <t>STOMATIC</t>
  </si>
  <si>
    <t>JOINTLITE</t>
  </si>
  <si>
    <t>WELLBURN</t>
  </si>
  <si>
    <t>Gift Keychain</t>
  </si>
  <si>
    <t>Rubber Coaster Kirithra</t>
  </si>
  <si>
    <t>Enamel Pin Kirithra</t>
  </si>
  <si>
    <t>PDRN SHERBET MASK</t>
  </si>
  <si>
    <t>Expert Care Daily Diaper Cream 40 gram</t>
  </si>
  <si>
    <t>Expert Care Gentle prOATect Shampoo and Body Wash - Pump Packaging 250 mL</t>
  </si>
  <si>
    <t>Expert Care Gentle prOATect Shampoo and Body Wash - Pouch Packaging 380 mL</t>
  </si>
  <si>
    <t>Katalog Facetology</t>
  </si>
  <si>
    <t>Katalog Scora</t>
  </si>
  <si>
    <t>Motherlove Little Tooth &amp; Gum Wipes 30 Sheets</t>
  </si>
  <si>
    <t>[G0200046] GWP Lip Holder 2025</t>
  </si>
  <si>
    <t>CMS</t>
  </si>
  <si>
    <t>BEAUTETOX</t>
  </si>
  <si>
    <t>RAHASIA BEAUTY</t>
  </si>
  <si>
    <t>NACIFIC</t>
  </si>
  <si>
    <t>INTERBAT</t>
  </si>
  <si>
    <t>SECONDATE</t>
  </si>
  <si>
    <t>SCORA</t>
  </si>
  <si>
    <t>MUSTELA</t>
  </si>
  <si>
    <t>NURILAB</t>
  </si>
  <si>
    <t>ESQA</t>
  </si>
  <si>
    <t>GMS</t>
  </si>
  <si>
    <t>FILMORE</t>
  </si>
  <si>
    <t>NUTRA HERBAL</t>
  </si>
  <si>
    <t>TENTANGANAK</t>
  </si>
  <si>
    <t>FACETOLOGY</t>
  </si>
  <si>
    <t>MOTHERLOVE</t>
  </si>
  <si>
    <t>SHOPEE, TOKOPEDIA, TIKTOK, LAZADA</t>
  </si>
  <si>
    <t>shopee, tiktok, tokopedia</t>
  </si>
  <si>
    <t>TOKOPEDIA, BLIBLI, ZALORA, TIKTOK, LAZADA</t>
  </si>
  <si>
    <t>TOKOPEDIA, SHOPEE, LAZADA, TIKTOK</t>
  </si>
  <si>
    <t>SHOPEE, TIKTOK, LAZADA, TOKOPEDIA, BLIBLI</t>
  </si>
  <si>
    <t>TOKOPEDIA, SHOPEE, LAZADA, TIKTOK, blibli</t>
  </si>
  <si>
    <t>shopee, tiktok, tokopedia, lazada</t>
  </si>
  <si>
    <t>shopee, tiktok, tokopedia, lazada, blibli</t>
  </si>
  <si>
    <t>shopee, tiktok</t>
  </si>
  <si>
    <t>saffnco</t>
  </si>
  <si>
    <t>jubelio</t>
  </si>
  <si>
    <t>somebymi</t>
  </si>
  <si>
    <t>SKUComponent6</t>
  </si>
  <si>
    <t>SKUComponent7</t>
  </si>
  <si>
    <t>SKUComponent8</t>
  </si>
  <si>
    <t>SKUComponent9</t>
  </si>
  <si>
    <t>SKUComponent10</t>
  </si>
  <si>
    <t>SKUComponent11</t>
  </si>
  <si>
    <t>SKUComponent12</t>
  </si>
  <si>
    <t>SKUComponent13</t>
  </si>
  <si>
    <t>SKUComponent14</t>
  </si>
  <si>
    <t>SKUComponent15</t>
  </si>
  <si>
    <t>SKUComponent16</t>
  </si>
  <si>
    <t>SKUComponent17</t>
  </si>
  <si>
    <t>SKUComponent18</t>
  </si>
  <si>
    <t>SKUComponent19</t>
  </si>
  <si>
    <t>SKUComponent20</t>
  </si>
  <si>
    <t>SKUComponent21</t>
  </si>
  <si>
    <t>SKUComponent22</t>
  </si>
  <si>
    <t>SKUComponent23</t>
  </si>
  <si>
    <t>Deskripsi komponen6</t>
  </si>
  <si>
    <t>Deskripsi komponen7</t>
  </si>
  <si>
    <t>Deskripsi komponen8</t>
  </si>
  <si>
    <t>Deskripsi komponen9</t>
  </si>
  <si>
    <t>Deskripsi komponen10</t>
  </si>
  <si>
    <t>Deskripsi komponen11</t>
  </si>
  <si>
    <t>Deskripsi komponen12</t>
  </si>
  <si>
    <t>Deskripsi komponen13</t>
  </si>
  <si>
    <t>Deskripsi komponen14</t>
  </si>
  <si>
    <t>Deskripsi komponen15</t>
  </si>
  <si>
    <t>Deskripsi komponen16</t>
  </si>
  <si>
    <t>Deskripsi komponen17</t>
  </si>
  <si>
    <t>Deskripsi komponen18</t>
  </si>
  <si>
    <t>Deskripsi komponen19</t>
  </si>
  <si>
    <t>Deskripsi komponen20</t>
  </si>
  <si>
    <t>Deskripsi komponen21</t>
  </si>
  <si>
    <t>Deskripsi komponen22</t>
  </si>
  <si>
    <t>Deskripsi komponen23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</si>
</sst>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/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3" xfId="0" applyFill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showGridLines="0" tabSelected="1" topLeftCell="C1" workbookViewId="0">
      <pane ySplit="2" topLeftCell="A12" activePane="bottomLeft" state="frozen"/>
      <selection pane="bottomLeft" activeCell="G1" sqref="G1:G2"/>
    </sheetView>
  </sheetViews>
  <sheetFormatPr defaultColWidth="9" defaultRowHeight="15"/>
  <cols>
    <col min="2" max="2" width="25.85546875" bestFit="1" customWidth="1"/>
    <col min="3" max="3" width="62.28515625" style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9.140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9" t="s">
        <v>24</v>
      </c>
      <c r="C3" s="18" t="s">
        <v>78</v>
      </c>
      <c r="D3" s="7" t="s">
        <v>14</v>
      </c>
      <c r="E3" s="7" t="s">
        <v>19</v>
      </c>
      <c r="F3" s="4">
        <v>1</v>
      </c>
      <c r="G3" s="4" t="s">
        <v>129</v>
      </c>
      <c r="H3" s="18" t="b">
        <v>0</v>
      </c>
      <c r="I3" s="9">
        <f ca="1">NOW()</f>
        <v>45805.861799421298</v>
      </c>
      <c r="J3" s="9">
        <v>47848.999988425923</v>
      </c>
    </row>
    <row r="4" spans="1:10">
      <c r="A4" s="18"/>
      <c r="B4" s="19" t="s">
        <v>25</v>
      </c>
      <c r="C4" s="18" t="s">
        <v>79</v>
      </c>
      <c r="D4" s="7" t="s">
        <v>15</v>
      </c>
      <c r="E4" s="7" t="s">
        <v>20</v>
      </c>
      <c r="F4" s="4">
        <v>1</v>
      </c>
      <c r="G4" s="4" t="s">
        <v>130</v>
      </c>
      <c r="H4" s="21" t="s">
        <v>145</v>
      </c>
      <c r="I4" s="9">
        <f t="shared" ref="I4:I54" ca="1" si="0">NOW()</f>
        <v>45805.861799421298</v>
      </c>
      <c r="J4" s="9">
        <v>47848.999988425923</v>
      </c>
    </row>
    <row r="5" spans="1:10">
      <c r="A5" s="18"/>
      <c r="B5" s="19" t="s">
        <v>26</v>
      </c>
      <c r="C5" s="18" t="s">
        <v>80</v>
      </c>
      <c r="D5" s="7" t="s">
        <v>16</v>
      </c>
      <c r="E5" s="7" t="s">
        <v>21</v>
      </c>
      <c r="F5" s="4">
        <v>1</v>
      </c>
      <c r="G5" s="4" t="s">
        <v>131</v>
      </c>
      <c r="H5" s="21" t="s">
        <v>146</v>
      </c>
      <c r="I5" s="9">
        <f t="shared" ca="1" si="0"/>
        <v>45805.861799421298</v>
      </c>
      <c r="J5" s="9">
        <v>47848.999988425923</v>
      </c>
    </row>
    <row r="6" spans="1:10">
      <c r="A6" s="18"/>
      <c r="B6" s="19" t="s">
        <v>27</v>
      </c>
      <c r="C6" s="18" t="s">
        <v>81</v>
      </c>
      <c r="D6" s="24" t="s">
        <v>14</v>
      </c>
      <c r="E6" s="24" t="s">
        <v>19</v>
      </c>
      <c r="F6" s="4">
        <v>1</v>
      </c>
      <c r="G6" s="4" t="s">
        <v>132</v>
      </c>
      <c r="H6" s="21" t="s">
        <v>147</v>
      </c>
      <c r="I6" s="9">
        <f t="shared" ca="1" si="0"/>
        <v>45805.861799421298</v>
      </c>
      <c r="J6" s="9">
        <v>47848.999988425923</v>
      </c>
    </row>
    <row r="7" spans="1:10">
      <c r="A7" s="18"/>
      <c r="B7" s="19" t="s">
        <v>28</v>
      </c>
      <c r="C7" s="18" t="s">
        <v>82</v>
      </c>
      <c r="D7" s="24" t="s">
        <v>15</v>
      </c>
      <c r="E7" s="24" t="s">
        <v>20</v>
      </c>
      <c r="F7" s="4">
        <v>1</v>
      </c>
      <c r="G7" s="4" t="s">
        <v>132</v>
      </c>
      <c r="H7" s="18" t="s">
        <v>147</v>
      </c>
      <c r="I7" s="9">
        <f t="shared" ca="1" si="0"/>
        <v>45805.861799421298</v>
      </c>
      <c r="J7" s="9">
        <v>47848.999988425923</v>
      </c>
    </row>
    <row r="8" spans="1:10">
      <c r="A8" s="18">
        <v>2</v>
      </c>
      <c r="B8" s="19" t="s">
        <v>29</v>
      </c>
      <c r="C8" s="18" t="s">
        <v>83</v>
      </c>
      <c r="D8" s="24" t="s">
        <v>16</v>
      </c>
      <c r="E8" s="24" t="s">
        <v>21</v>
      </c>
      <c r="F8" s="4">
        <v>1</v>
      </c>
      <c r="G8" s="4" t="s">
        <v>132</v>
      </c>
      <c r="H8" s="18" t="s">
        <v>147</v>
      </c>
      <c r="I8" s="9">
        <f t="shared" ca="1" si="0"/>
        <v>45805.861799421298</v>
      </c>
      <c r="J8" s="9">
        <v>47848.999988425923</v>
      </c>
    </row>
    <row r="9" spans="1:10">
      <c r="A9" s="18"/>
      <c r="B9" s="19" t="s">
        <v>30</v>
      </c>
      <c r="C9" s="18" t="s">
        <v>84</v>
      </c>
      <c r="D9" s="24" t="s">
        <v>17</v>
      </c>
      <c r="E9" s="24" t="s">
        <v>22</v>
      </c>
      <c r="F9" s="4">
        <v>1</v>
      </c>
      <c r="G9" s="4" t="s">
        <v>132</v>
      </c>
      <c r="H9" s="18" t="s">
        <v>147</v>
      </c>
      <c r="I9" s="9">
        <f t="shared" ca="1" si="0"/>
        <v>45805.861799421298</v>
      </c>
      <c r="J9" s="9">
        <v>47848.999988425923</v>
      </c>
    </row>
    <row r="10" spans="1:10">
      <c r="A10" s="18"/>
      <c r="B10" s="19" t="s">
        <v>31</v>
      </c>
      <c r="C10" s="18" t="s">
        <v>85</v>
      </c>
      <c r="D10" s="24" t="s">
        <v>18</v>
      </c>
      <c r="E10" s="24" t="s">
        <v>23</v>
      </c>
      <c r="F10" s="4">
        <v>1</v>
      </c>
      <c r="G10" s="4" t="s">
        <v>132</v>
      </c>
      <c r="H10" s="18" t="s">
        <v>147</v>
      </c>
      <c r="I10" s="9">
        <f t="shared" ca="1" si="0"/>
        <v>45805.861799421298</v>
      </c>
      <c r="J10" s="9">
        <v>47848.999988425923</v>
      </c>
    </row>
    <row r="11" spans="1:10">
      <c r="A11" s="18"/>
      <c r="B11" s="19" t="s">
        <v>32</v>
      </c>
      <c r="C11" s="18" t="s">
        <v>86</v>
      </c>
      <c r="D11" s="7" t="s">
        <v>17</v>
      </c>
      <c r="E11" s="7" t="s">
        <v>22</v>
      </c>
      <c r="F11" s="4">
        <v>1</v>
      </c>
      <c r="G11" s="4" t="s">
        <v>133</v>
      </c>
      <c r="H11" s="21" t="s">
        <v>148</v>
      </c>
      <c r="I11" s="9">
        <f t="shared" ca="1" si="0"/>
        <v>45805.861799421298</v>
      </c>
      <c r="J11" s="9">
        <v>47848.999988425923</v>
      </c>
    </row>
    <row r="12" spans="1:10">
      <c r="A12" s="18"/>
      <c r="B12" s="19" t="s">
        <v>33</v>
      </c>
      <c r="C12" s="18" t="s">
        <v>87</v>
      </c>
      <c r="D12" s="7" t="s">
        <v>18</v>
      </c>
      <c r="E12" s="7" t="s">
        <v>23</v>
      </c>
      <c r="F12" s="4">
        <v>1</v>
      </c>
      <c r="G12" s="4" t="s">
        <v>134</v>
      </c>
      <c r="H12" s="21" t="s">
        <v>145</v>
      </c>
      <c r="I12" s="9">
        <f t="shared" ca="1" si="0"/>
        <v>45805.861799421298</v>
      </c>
      <c r="J12" s="9">
        <v>47848.999988425923</v>
      </c>
    </row>
    <row r="13" spans="1:10">
      <c r="A13" s="18">
        <v>3</v>
      </c>
      <c r="B13" s="19" t="s">
        <v>34</v>
      </c>
      <c r="C13" s="18" t="s">
        <v>88</v>
      </c>
      <c r="D13" s="7" t="s">
        <v>14</v>
      </c>
      <c r="E13" s="7" t="s">
        <v>19</v>
      </c>
      <c r="F13" s="4">
        <v>1</v>
      </c>
      <c r="G13" s="4" t="s">
        <v>134</v>
      </c>
      <c r="H13" s="21" t="s">
        <v>145</v>
      </c>
      <c r="I13" s="9">
        <f t="shared" ca="1" si="0"/>
        <v>45805.861799421298</v>
      </c>
      <c r="J13" s="9">
        <v>47848.999988425923</v>
      </c>
    </row>
    <row r="14" spans="1:10">
      <c r="A14" s="18"/>
      <c r="B14" s="19" t="s">
        <v>35</v>
      </c>
      <c r="C14" s="18" t="s">
        <v>35</v>
      </c>
      <c r="D14" s="7" t="s">
        <v>15</v>
      </c>
      <c r="E14" s="7" t="s">
        <v>20</v>
      </c>
      <c r="F14" s="4">
        <v>1</v>
      </c>
      <c r="G14" s="4" t="s">
        <v>135</v>
      </c>
      <c r="H14" s="21" t="s">
        <v>149</v>
      </c>
      <c r="I14" s="9">
        <f t="shared" ca="1" si="0"/>
        <v>45805.861799421298</v>
      </c>
      <c r="J14" s="9">
        <v>47848.999988425923</v>
      </c>
    </row>
    <row r="15" spans="1:10">
      <c r="A15" s="18"/>
      <c r="B15" s="19" t="s">
        <v>36</v>
      </c>
      <c r="C15" s="18" t="s">
        <v>36</v>
      </c>
      <c r="D15" s="7" t="s">
        <v>16</v>
      </c>
      <c r="E15" s="7" t="s">
        <v>21</v>
      </c>
      <c r="F15" s="4">
        <v>1</v>
      </c>
      <c r="G15" s="4" t="s">
        <v>135</v>
      </c>
      <c r="H15" s="21" t="s">
        <v>149</v>
      </c>
      <c r="I15" s="9">
        <f t="shared" ca="1" si="0"/>
        <v>45805.861799421298</v>
      </c>
      <c r="J15" s="9">
        <v>47848.999988425923</v>
      </c>
    </row>
    <row r="16" spans="1:10">
      <c r="A16" s="18"/>
      <c r="B16" s="19" t="s">
        <v>37</v>
      </c>
      <c r="C16" s="18" t="s">
        <v>89</v>
      </c>
      <c r="D16" s="7" t="s">
        <v>17</v>
      </c>
      <c r="E16" s="7" t="s">
        <v>22</v>
      </c>
      <c r="F16" s="4">
        <v>1</v>
      </c>
      <c r="G16" s="4" t="s">
        <v>136</v>
      </c>
      <c r="H16" s="21" t="s">
        <v>150</v>
      </c>
      <c r="I16" s="9">
        <f t="shared" ca="1" si="0"/>
        <v>45805.861799421298</v>
      </c>
      <c r="J16" s="9">
        <v>47848.999988425923</v>
      </c>
    </row>
    <row r="17" spans="1:10">
      <c r="A17" s="18"/>
      <c r="B17" s="19" t="s">
        <v>38</v>
      </c>
      <c r="C17" s="18" t="s">
        <v>90</v>
      </c>
      <c r="D17" s="7" t="s">
        <v>18</v>
      </c>
      <c r="E17" s="7" t="s">
        <v>23</v>
      </c>
      <c r="F17" s="4">
        <v>1</v>
      </c>
      <c r="G17" s="4" t="s">
        <v>131</v>
      </c>
      <c r="H17" s="21" t="s">
        <v>146</v>
      </c>
      <c r="I17" s="9">
        <f t="shared" ca="1" si="0"/>
        <v>45805.861799421298</v>
      </c>
      <c r="J17" s="9">
        <v>47848.999988425923</v>
      </c>
    </row>
    <row r="18" spans="1:10">
      <c r="A18" s="18">
        <v>4</v>
      </c>
      <c r="B18" s="19" t="s">
        <v>39</v>
      </c>
      <c r="C18" s="18" t="s">
        <v>91</v>
      </c>
      <c r="D18" s="7" t="s">
        <v>14</v>
      </c>
      <c r="E18" s="7" t="s">
        <v>19</v>
      </c>
      <c r="F18" s="4">
        <v>1</v>
      </c>
      <c r="G18" s="4" t="s">
        <v>137</v>
      </c>
      <c r="H18" s="21" t="s">
        <v>153</v>
      </c>
      <c r="I18" s="9">
        <f t="shared" ca="1" si="0"/>
        <v>45805.861799421298</v>
      </c>
      <c r="J18" s="9">
        <v>47848.999988425923</v>
      </c>
    </row>
    <row r="19" spans="1:10">
      <c r="A19" s="18"/>
      <c r="B19" s="19" t="s">
        <v>75</v>
      </c>
      <c r="C19" s="18" t="s">
        <v>92</v>
      </c>
      <c r="D19" s="7" t="s">
        <v>15</v>
      </c>
      <c r="E19" s="7" t="s">
        <v>20</v>
      </c>
      <c r="F19" s="4">
        <v>1</v>
      </c>
      <c r="G19" s="4" t="s">
        <v>138</v>
      </c>
      <c r="H19" s="21" t="s">
        <v>151</v>
      </c>
      <c r="I19" s="9">
        <f t="shared" ca="1" si="0"/>
        <v>45805.861799421298</v>
      </c>
      <c r="J19" s="9">
        <v>47848.999988425923</v>
      </c>
    </row>
    <row r="20" spans="1:10">
      <c r="A20" s="18"/>
      <c r="B20" s="19" t="s">
        <v>40</v>
      </c>
      <c r="C20" s="18" t="s">
        <v>93</v>
      </c>
      <c r="D20" s="7" t="s">
        <v>16</v>
      </c>
      <c r="E20" s="7" t="s">
        <v>21</v>
      </c>
      <c r="F20" s="4">
        <v>1</v>
      </c>
      <c r="G20" s="4" t="s">
        <v>139</v>
      </c>
      <c r="H20" s="18" t="b">
        <v>0</v>
      </c>
      <c r="I20" s="9">
        <f t="shared" ca="1" si="0"/>
        <v>45805.861799421298</v>
      </c>
      <c r="J20" s="9">
        <v>47848.999988425923</v>
      </c>
    </row>
    <row r="21" spans="1:10">
      <c r="A21" s="18"/>
      <c r="B21" s="19" t="s">
        <v>41</v>
      </c>
      <c r="C21" s="18" t="s">
        <v>94</v>
      </c>
      <c r="D21" s="7" t="s">
        <v>17</v>
      </c>
      <c r="E21" s="7" t="s">
        <v>22</v>
      </c>
      <c r="F21" s="4">
        <v>1</v>
      </c>
      <c r="G21" s="4" t="s">
        <v>139</v>
      </c>
      <c r="H21" s="18" t="b">
        <v>0</v>
      </c>
      <c r="I21" s="9">
        <f t="shared" ca="1" si="0"/>
        <v>45805.861799421298</v>
      </c>
      <c r="J21" s="9">
        <v>47848.999988425923</v>
      </c>
    </row>
    <row r="22" spans="1:10">
      <c r="A22" s="18"/>
      <c r="B22" s="19" t="s">
        <v>42</v>
      </c>
      <c r="C22" s="18" t="s">
        <v>95</v>
      </c>
      <c r="D22" s="7" t="s">
        <v>18</v>
      </c>
      <c r="E22" s="7" t="s">
        <v>23</v>
      </c>
      <c r="F22" s="4">
        <v>1</v>
      </c>
      <c r="G22" s="4" t="s">
        <v>140</v>
      </c>
      <c r="H22" s="21" t="s">
        <v>145</v>
      </c>
      <c r="I22" s="9">
        <f t="shared" ca="1" si="0"/>
        <v>45805.861799421298</v>
      </c>
      <c r="J22" s="9">
        <v>47848.999988425923</v>
      </c>
    </row>
    <row r="23" spans="1:10">
      <c r="A23" s="18">
        <v>5</v>
      </c>
      <c r="B23" s="19" t="s">
        <v>43</v>
      </c>
      <c r="C23" s="18" t="s">
        <v>96</v>
      </c>
      <c r="D23" s="7" t="s">
        <v>14</v>
      </c>
      <c r="E23" s="7" t="s">
        <v>19</v>
      </c>
      <c r="F23" s="4">
        <v>1</v>
      </c>
      <c r="G23" s="4" t="s">
        <v>141</v>
      </c>
      <c r="H23" s="18" t="b">
        <v>0</v>
      </c>
      <c r="I23" s="9">
        <f t="shared" ca="1" si="0"/>
        <v>45805.861799421298</v>
      </c>
      <c r="J23" s="9">
        <v>47848.999988425923</v>
      </c>
    </row>
    <row r="24" spans="1:10">
      <c r="A24" s="18"/>
      <c r="B24" s="19" t="s">
        <v>44</v>
      </c>
      <c r="C24" s="18" t="s">
        <v>97</v>
      </c>
      <c r="D24" s="7" t="s">
        <v>15</v>
      </c>
      <c r="E24" s="7" t="s">
        <v>20</v>
      </c>
      <c r="F24" s="4">
        <v>1</v>
      </c>
      <c r="G24" s="4" t="s">
        <v>141</v>
      </c>
      <c r="H24" s="18" t="b">
        <v>0</v>
      </c>
      <c r="I24" s="9">
        <f t="shared" ca="1" si="0"/>
        <v>45805.861799421298</v>
      </c>
      <c r="J24" s="9">
        <v>47848.999988425923</v>
      </c>
    </row>
    <row r="25" spans="1:10">
      <c r="A25" s="18"/>
      <c r="B25" s="19" t="s">
        <v>45</v>
      </c>
      <c r="C25" s="18" t="s">
        <v>98</v>
      </c>
      <c r="D25" s="7" t="s">
        <v>16</v>
      </c>
      <c r="E25" s="7" t="s">
        <v>21</v>
      </c>
      <c r="F25" s="4">
        <v>1</v>
      </c>
      <c r="G25" s="4" t="s">
        <v>141</v>
      </c>
      <c r="H25" s="18" t="b">
        <v>0</v>
      </c>
      <c r="I25" s="9">
        <f t="shared" ca="1" si="0"/>
        <v>45805.861799421298</v>
      </c>
      <c r="J25" s="9">
        <v>47848.999988425923</v>
      </c>
    </row>
    <row r="26" spans="1:10">
      <c r="A26" s="18"/>
      <c r="B26" s="19" t="s">
        <v>46</v>
      </c>
      <c r="C26" s="18" t="s">
        <v>99</v>
      </c>
      <c r="D26" s="7" t="s">
        <v>17</v>
      </c>
      <c r="E26" s="7" t="s">
        <v>22</v>
      </c>
      <c r="F26" s="4">
        <v>1</v>
      </c>
      <c r="G26" s="4" t="s">
        <v>141</v>
      </c>
      <c r="H26" s="18" t="b">
        <v>0</v>
      </c>
      <c r="I26" s="9">
        <f t="shared" ca="1" si="0"/>
        <v>45805.861799421298</v>
      </c>
      <c r="J26" s="9">
        <v>47848.999988425923</v>
      </c>
    </row>
    <row r="27" spans="1:10">
      <c r="A27" s="18"/>
      <c r="B27" s="19" t="s">
        <v>47</v>
      </c>
      <c r="C27" s="18" t="s">
        <v>100</v>
      </c>
      <c r="D27" s="7" t="s">
        <v>18</v>
      </c>
      <c r="E27" s="7" t="s">
        <v>23</v>
      </c>
      <c r="F27" s="4">
        <v>1</v>
      </c>
      <c r="G27" s="4" t="s">
        <v>141</v>
      </c>
      <c r="H27" s="18" t="b">
        <v>0</v>
      </c>
      <c r="I27" s="9">
        <f t="shared" ca="1" si="0"/>
        <v>45805.861799421298</v>
      </c>
      <c r="J27" s="9">
        <v>47848.999988425923</v>
      </c>
    </row>
    <row r="28" spans="1:10">
      <c r="A28" s="18">
        <v>6</v>
      </c>
      <c r="B28" s="19" t="s">
        <v>48</v>
      </c>
      <c r="C28" s="18" t="s">
        <v>101</v>
      </c>
      <c r="D28" s="24" t="s">
        <v>157</v>
      </c>
      <c r="E28" s="24" t="s">
        <v>175</v>
      </c>
      <c r="F28" s="4">
        <v>1</v>
      </c>
      <c r="G28" s="4" t="s">
        <v>141</v>
      </c>
      <c r="H28" s="18" t="b">
        <v>0</v>
      </c>
      <c r="I28" s="9">
        <f t="shared" ca="1" si="0"/>
        <v>45805.861799421298</v>
      </c>
      <c r="J28" s="9">
        <v>47848.999988425923</v>
      </c>
    </row>
    <row r="29" spans="1:10">
      <c r="A29" s="18"/>
      <c r="B29" s="19" t="s">
        <v>49</v>
      </c>
      <c r="C29" s="18" t="s">
        <v>102</v>
      </c>
      <c r="D29" s="24" t="s">
        <v>158</v>
      </c>
      <c r="E29" s="24" t="s">
        <v>176</v>
      </c>
      <c r="F29" s="4">
        <v>1</v>
      </c>
      <c r="G29" s="4" t="s">
        <v>141</v>
      </c>
      <c r="H29" s="18" t="b">
        <v>0</v>
      </c>
      <c r="I29" s="9">
        <f t="shared" ca="1" si="0"/>
        <v>45805.861799421298</v>
      </c>
      <c r="J29" s="9">
        <v>47848.999988425923</v>
      </c>
    </row>
    <row r="30" spans="1:10">
      <c r="A30" s="18"/>
      <c r="B30" s="19" t="s">
        <v>50</v>
      </c>
      <c r="C30" s="18" t="s">
        <v>103</v>
      </c>
      <c r="D30" s="24" t="s">
        <v>159</v>
      </c>
      <c r="E30" s="24" t="s">
        <v>177</v>
      </c>
      <c r="F30" s="4">
        <v>1</v>
      </c>
      <c r="G30" s="4" t="s">
        <v>141</v>
      </c>
      <c r="H30" s="18" t="b">
        <v>0</v>
      </c>
      <c r="I30" s="9">
        <f t="shared" ca="1" si="0"/>
        <v>45805.861799421298</v>
      </c>
      <c r="J30" s="9">
        <v>47848.999988425923</v>
      </c>
    </row>
    <row r="31" spans="1:10">
      <c r="A31" s="18"/>
      <c r="B31" s="19" t="s">
        <v>51</v>
      </c>
      <c r="C31" s="18" t="s">
        <v>104</v>
      </c>
      <c r="D31" s="24" t="s">
        <v>160</v>
      </c>
      <c r="E31" s="24" t="s">
        <v>178</v>
      </c>
      <c r="F31" s="4">
        <v>1</v>
      </c>
      <c r="G31" s="4" t="s">
        <v>141</v>
      </c>
      <c r="H31" s="18" t="b">
        <v>0</v>
      </c>
      <c r="I31" s="9">
        <f t="shared" ca="1" si="0"/>
        <v>45805.861799421298</v>
      </c>
      <c r="J31" s="9">
        <v>47848.999988425923</v>
      </c>
    </row>
    <row r="32" spans="1:10">
      <c r="A32" s="18"/>
      <c r="B32" s="19" t="s">
        <v>52</v>
      </c>
      <c r="C32" s="18" t="s">
        <v>105</v>
      </c>
      <c r="D32" s="24" t="s">
        <v>161</v>
      </c>
      <c r="E32" s="24" t="s">
        <v>179</v>
      </c>
      <c r="F32" s="4">
        <v>1</v>
      </c>
      <c r="G32" s="4" t="s">
        <v>141</v>
      </c>
      <c r="H32" s="18" t="b">
        <v>0</v>
      </c>
      <c r="I32" s="9">
        <f t="shared" ca="1" si="0"/>
        <v>45805.861799421298</v>
      </c>
      <c r="J32" s="9">
        <v>47848.999988425923</v>
      </c>
    </row>
    <row r="33" spans="1:10">
      <c r="A33" s="18">
        <v>7</v>
      </c>
      <c r="B33" s="19" t="s">
        <v>53</v>
      </c>
      <c r="C33" s="18" t="s">
        <v>106</v>
      </c>
      <c r="D33" s="24" t="s">
        <v>162</v>
      </c>
      <c r="E33" s="24" t="s">
        <v>180</v>
      </c>
      <c r="F33" s="4">
        <v>1</v>
      </c>
      <c r="G33" s="4" t="s">
        <v>141</v>
      </c>
      <c r="H33" s="18" t="b">
        <v>0</v>
      </c>
      <c r="I33" s="9">
        <f t="shared" ca="1" si="0"/>
        <v>45805.861799421298</v>
      </c>
      <c r="J33" s="9">
        <v>47848.999988425923</v>
      </c>
    </row>
    <row r="34" spans="1:10">
      <c r="A34" s="18"/>
      <c r="B34" s="19" t="s">
        <v>54</v>
      </c>
      <c r="C34" s="18" t="s">
        <v>107</v>
      </c>
      <c r="D34" s="24" t="s">
        <v>163</v>
      </c>
      <c r="E34" s="24" t="s">
        <v>181</v>
      </c>
      <c r="F34" s="4">
        <v>1</v>
      </c>
      <c r="G34" s="4" t="s">
        <v>141</v>
      </c>
      <c r="H34" s="18" t="b">
        <v>0</v>
      </c>
      <c r="I34" s="9">
        <f t="shared" ca="1" si="0"/>
        <v>45805.861799421298</v>
      </c>
      <c r="J34" s="9">
        <v>47848.999988425923</v>
      </c>
    </row>
    <row r="35" spans="1:10">
      <c r="A35" s="18"/>
      <c r="B35" s="19" t="s">
        <v>55</v>
      </c>
      <c r="C35" s="18" t="s">
        <v>108</v>
      </c>
      <c r="D35" s="24" t="s">
        <v>164</v>
      </c>
      <c r="E35" s="24" t="s">
        <v>182</v>
      </c>
      <c r="F35" s="4">
        <v>1</v>
      </c>
      <c r="G35" s="4" t="s">
        <v>141</v>
      </c>
      <c r="H35" s="18" t="b">
        <v>0</v>
      </c>
      <c r="I35" s="9">
        <f t="shared" ca="1" si="0"/>
        <v>45805.861799421298</v>
      </c>
      <c r="J35" s="9">
        <v>47848.999988425923</v>
      </c>
    </row>
    <row r="36" spans="1:10">
      <c r="A36" s="18"/>
      <c r="B36" s="19" t="s">
        <v>56</v>
      </c>
      <c r="C36" s="18" t="s">
        <v>109</v>
      </c>
      <c r="D36" s="24" t="s">
        <v>165</v>
      </c>
      <c r="E36" s="24" t="s">
        <v>183</v>
      </c>
      <c r="F36" s="4">
        <v>1</v>
      </c>
      <c r="G36" s="4" t="s">
        <v>141</v>
      </c>
      <c r="H36" s="18" t="b">
        <v>0</v>
      </c>
      <c r="I36" s="9">
        <f t="shared" ca="1" si="0"/>
        <v>45805.861799421298</v>
      </c>
      <c r="J36" s="9">
        <v>47848.999988425923</v>
      </c>
    </row>
    <row r="37" spans="1:10">
      <c r="A37" s="18"/>
      <c r="B37" s="19" t="s">
        <v>57</v>
      </c>
      <c r="C37" s="18" t="s">
        <v>110</v>
      </c>
      <c r="D37" s="24" t="s">
        <v>166</v>
      </c>
      <c r="E37" s="24" t="s">
        <v>184</v>
      </c>
      <c r="F37" s="4">
        <v>1</v>
      </c>
      <c r="G37" s="4" t="s">
        <v>141</v>
      </c>
      <c r="H37" s="18" t="b">
        <v>0</v>
      </c>
      <c r="I37" s="9">
        <f t="shared" ca="1" si="0"/>
        <v>45805.861799421298</v>
      </c>
      <c r="J37" s="9">
        <v>47848.999988425923</v>
      </c>
    </row>
    <row r="38" spans="1:10">
      <c r="A38" s="18">
        <v>8</v>
      </c>
      <c r="B38" s="19" t="s">
        <v>58</v>
      </c>
      <c r="C38" s="18" t="s">
        <v>111</v>
      </c>
      <c r="D38" s="24" t="s">
        <v>167</v>
      </c>
      <c r="E38" s="24" t="s">
        <v>185</v>
      </c>
      <c r="F38" s="4">
        <v>1</v>
      </c>
      <c r="G38" s="4" t="s">
        <v>141</v>
      </c>
      <c r="H38" s="18" t="b">
        <v>0</v>
      </c>
      <c r="I38" s="9">
        <f t="shared" ca="1" si="0"/>
        <v>45805.861799421298</v>
      </c>
      <c r="J38" s="9">
        <v>47848.999988425923</v>
      </c>
    </row>
    <row r="39" spans="1:10">
      <c r="A39" s="18"/>
      <c r="B39" s="19" t="s">
        <v>59</v>
      </c>
      <c r="C39" s="18" t="s">
        <v>112</v>
      </c>
      <c r="D39" s="24" t="s">
        <v>168</v>
      </c>
      <c r="E39" s="24" t="s">
        <v>186</v>
      </c>
      <c r="F39" s="4">
        <v>1</v>
      </c>
      <c r="G39" s="4" t="s">
        <v>141</v>
      </c>
      <c r="H39" s="18" t="b">
        <v>0</v>
      </c>
      <c r="I39" s="9">
        <f t="shared" ca="1" si="0"/>
        <v>45805.861799421298</v>
      </c>
      <c r="J39" s="9">
        <v>47848.999988425923</v>
      </c>
    </row>
    <row r="40" spans="1:10">
      <c r="A40" s="18"/>
      <c r="B40" s="19" t="s">
        <v>60</v>
      </c>
      <c r="C40" s="18" t="s">
        <v>113</v>
      </c>
      <c r="D40" s="24" t="s">
        <v>169</v>
      </c>
      <c r="E40" s="24" t="s">
        <v>187</v>
      </c>
      <c r="F40" s="4">
        <v>1</v>
      </c>
      <c r="G40" s="4" t="s">
        <v>141</v>
      </c>
      <c r="H40" s="18" t="b">
        <v>0</v>
      </c>
      <c r="I40" s="9">
        <f t="shared" ca="1" si="0"/>
        <v>45805.861799421298</v>
      </c>
      <c r="J40" s="9">
        <v>47848.999988425923</v>
      </c>
    </row>
    <row r="41" spans="1:10">
      <c r="A41" s="18"/>
      <c r="B41" s="19" t="s">
        <v>61</v>
      </c>
      <c r="C41" s="18" t="s">
        <v>114</v>
      </c>
      <c r="D41" s="24" t="s">
        <v>170</v>
      </c>
      <c r="E41" s="24" t="s">
        <v>188</v>
      </c>
      <c r="F41" s="4">
        <v>1</v>
      </c>
      <c r="G41" s="4" t="s">
        <v>141</v>
      </c>
      <c r="H41" s="18" t="b">
        <v>0</v>
      </c>
      <c r="I41" s="9">
        <f t="shared" ca="1" si="0"/>
        <v>45805.861799421298</v>
      </c>
      <c r="J41" s="9">
        <v>47848.999988425923</v>
      </c>
    </row>
    <row r="42" spans="1:10">
      <c r="A42" s="18"/>
      <c r="B42" s="19" t="s">
        <v>62</v>
      </c>
      <c r="C42" s="18" t="s">
        <v>115</v>
      </c>
      <c r="D42" s="24" t="s">
        <v>171</v>
      </c>
      <c r="E42" s="24" t="s">
        <v>189</v>
      </c>
      <c r="F42" s="4">
        <v>1</v>
      </c>
      <c r="G42" s="4" t="s">
        <v>141</v>
      </c>
      <c r="H42" s="18" t="b">
        <v>0</v>
      </c>
      <c r="I42" s="9">
        <f t="shared" ca="1" si="0"/>
        <v>45805.861799421298</v>
      </c>
      <c r="J42" s="9">
        <v>47848.999988425923</v>
      </c>
    </row>
    <row r="43" spans="1:10">
      <c r="A43" s="18">
        <v>9</v>
      </c>
      <c r="B43" s="19" t="s">
        <v>63</v>
      </c>
      <c r="C43" s="18" t="s">
        <v>116</v>
      </c>
      <c r="D43" s="24" t="s">
        <v>172</v>
      </c>
      <c r="E43" s="24" t="s">
        <v>190</v>
      </c>
      <c r="F43" s="4">
        <v>1</v>
      </c>
      <c r="G43" s="4" t="s">
        <v>141</v>
      </c>
      <c r="H43" s="18" t="b">
        <v>0</v>
      </c>
      <c r="I43" s="9">
        <f t="shared" ca="1" si="0"/>
        <v>45805.861799421298</v>
      </c>
      <c r="J43" s="9">
        <v>47848.999988425923</v>
      </c>
    </row>
    <row r="44" spans="1:10">
      <c r="A44" s="18"/>
      <c r="B44" s="19" t="s">
        <v>64</v>
      </c>
      <c r="C44" s="18" t="s">
        <v>117</v>
      </c>
      <c r="D44" s="24" t="s">
        <v>173</v>
      </c>
      <c r="E44" s="24" t="s">
        <v>191</v>
      </c>
      <c r="F44" s="4">
        <v>1</v>
      </c>
      <c r="G44" s="4" t="s">
        <v>141</v>
      </c>
      <c r="H44" s="18" t="b">
        <v>0</v>
      </c>
      <c r="I44" s="9">
        <f t="shared" ca="1" si="0"/>
        <v>45805.861799421298</v>
      </c>
      <c r="J44" s="9">
        <v>47848.999988425923</v>
      </c>
    </row>
    <row r="45" spans="1:10">
      <c r="A45" s="18"/>
      <c r="B45" s="19" t="s">
        <v>65</v>
      </c>
      <c r="C45" s="18" t="s">
        <v>78</v>
      </c>
      <c r="D45" s="24" t="s">
        <v>174</v>
      </c>
      <c r="E45" s="24" t="s">
        <v>192</v>
      </c>
      <c r="F45" s="4">
        <v>1</v>
      </c>
      <c r="G45" s="4" t="s">
        <v>141</v>
      </c>
      <c r="H45" s="18" t="b">
        <v>0</v>
      </c>
      <c r="I45" s="9">
        <f t="shared" ca="1" si="0"/>
        <v>45805.861799421298</v>
      </c>
      <c r="J45" s="9">
        <v>47848.999988425923</v>
      </c>
    </row>
    <row r="46" spans="1:10">
      <c r="A46" s="18"/>
      <c r="B46" s="19" t="s">
        <v>66</v>
      </c>
      <c r="C46" s="18" t="s">
        <v>118</v>
      </c>
      <c r="D46" s="7" t="s">
        <v>17</v>
      </c>
      <c r="E46" s="7" t="s">
        <v>22</v>
      </c>
      <c r="F46" s="4">
        <v>1</v>
      </c>
      <c r="G46" s="4" t="s">
        <v>135</v>
      </c>
      <c r="H46" s="21" t="s">
        <v>149</v>
      </c>
      <c r="I46" s="9">
        <f t="shared" ca="1" si="0"/>
        <v>45805.861799421298</v>
      </c>
      <c r="J46" s="9">
        <v>47848.999988425923</v>
      </c>
    </row>
    <row r="47" spans="1:10">
      <c r="A47" s="18"/>
      <c r="B47" s="19" t="s">
        <v>76</v>
      </c>
      <c r="C47" s="18" t="s">
        <v>119</v>
      </c>
      <c r="D47" s="7" t="s">
        <v>18</v>
      </c>
      <c r="E47" s="7" t="s">
        <v>23</v>
      </c>
      <c r="F47" s="4">
        <v>1</v>
      </c>
      <c r="G47" s="23" t="s">
        <v>154</v>
      </c>
      <c r="H47" s="21" t="s">
        <v>155</v>
      </c>
      <c r="I47" s="9">
        <f t="shared" ca="1" si="0"/>
        <v>45805.861799421298</v>
      </c>
      <c r="J47" s="9">
        <v>47848.999988425923</v>
      </c>
    </row>
    <row r="48" spans="1:10">
      <c r="A48" s="18">
        <v>10</v>
      </c>
      <c r="B48" s="19" t="s">
        <v>77</v>
      </c>
      <c r="C48" s="18" t="s">
        <v>120</v>
      </c>
      <c r="D48" s="7" t="s">
        <v>14</v>
      </c>
      <c r="E48" s="7" t="s">
        <v>19</v>
      </c>
      <c r="F48" s="4">
        <v>1</v>
      </c>
      <c r="G48" s="23" t="s">
        <v>154</v>
      </c>
      <c r="H48" s="21" t="s">
        <v>155</v>
      </c>
      <c r="I48" s="9">
        <f t="shared" ca="1" si="0"/>
        <v>45805.861799421298</v>
      </c>
      <c r="J48" s="9">
        <v>47848.999988425923</v>
      </c>
    </row>
    <row r="49" spans="1:10">
      <c r="A49" s="18"/>
      <c r="B49" s="19" t="s">
        <v>67</v>
      </c>
      <c r="C49" s="18" t="s">
        <v>121</v>
      </c>
      <c r="D49" s="7" t="s">
        <v>15</v>
      </c>
      <c r="E49" s="7" t="s">
        <v>20</v>
      </c>
      <c r="F49" s="4">
        <v>1</v>
      </c>
      <c r="G49" s="23" t="s">
        <v>156</v>
      </c>
      <c r="H49" s="21" t="s">
        <v>146</v>
      </c>
      <c r="I49" s="9">
        <f t="shared" ca="1" si="0"/>
        <v>45805.861799421298</v>
      </c>
      <c r="J49" s="9">
        <v>47848.999988425923</v>
      </c>
    </row>
    <row r="50" spans="1:10">
      <c r="A50" s="18"/>
      <c r="B50" s="19" t="s">
        <v>68</v>
      </c>
      <c r="C50" s="18" t="s">
        <v>122</v>
      </c>
      <c r="D50" s="7" t="s">
        <v>16</v>
      </c>
      <c r="E50" s="7" t="s">
        <v>21</v>
      </c>
      <c r="F50" s="4">
        <v>1</v>
      </c>
      <c r="G50" s="4" t="s">
        <v>142</v>
      </c>
      <c r="H50" s="18" t="b">
        <v>0</v>
      </c>
      <c r="I50" s="9">
        <f t="shared" ca="1" si="0"/>
        <v>45805.861799421298</v>
      </c>
      <c r="J50" s="9">
        <v>47848.999988425923</v>
      </c>
    </row>
    <row r="51" spans="1:10">
      <c r="A51" s="18"/>
      <c r="B51" s="19" t="s">
        <v>69</v>
      </c>
      <c r="C51" s="18" t="s">
        <v>123</v>
      </c>
      <c r="D51" s="7" t="s">
        <v>17</v>
      </c>
      <c r="E51" s="7" t="s">
        <v>22</v>
      </c>
      <c r="F51" s="4">
        <v>1</v>
      </c>
      <c r="G51" s="4" t="s">
        <v>142</v>
      </c>
      <c r="H51" s="18" t="b">
        <v>0</v>
      </c>
      <c r="I51" s="9">
        <f t="shared" ca="1" si="0"/>
        <v>45805.861799421298</v>
      </c>
      <c r="J51" s="9">
        <v>47848.999988425923</v>
      </c>
    </row>
    <row r="52" spans="1:10">
      <c r="A52" s="18"/>
      <c r="B52" s="19" t="s">
        <v>70</v>
      </c>
      <c r="C52" s="18" t="s">
        <v>124</v>
      </c>
      <c r="D52" s="7" t="s">
        <v>18</v>
      </c>
      <c r="E52" s="7" t="s">
        <v>23</v>
      </c>
      <c r="F52" s="4">
        <v>1</v>
      </c>
      <c r="G52" s="4" t="s">
        <v>142</v>
      </c>
      <c r="H52" s="18" t="b">
        <v>0</v>
      </c>
      <c r="I52" s="9">
        <f t="shared" ca="1" si="0"/>
        <v>45805.861799421298</v>
      </c>
      <c r="J52" s="9">
        <v>47848.999988425923</v>
      </c>
    </row>
    <row r="53" spans="1:10">
      <c r="B53" s="20" t="s">
        <v>71</v>
      </c>
      <c r="C53" s="1" t="s">
        <v>125</v>
      </c>
      <c r="G53" t="s">
        <v>143</v>
      </c>
      <c r="H53" s="22" t="s">
        <v>152</v>
      </c>
    </row>
    <row r="54" spans="1:10">
      <c r="B54" s="20" t="s">
        <v>72</v>
      </c>
      <c r="C54" s="1" t="s">
        <v>126</v>
      </c>
      <c r="D54" s="24" t="s">
        <v>18</v>
      </c>
      <c r="E54" s="24" t="s">
        <v>175</v>
      </c>
      <c r="F54" s="25">
        <v>1</v>
      </c>
      <c r="G54" t="s">
        <v>135</v>
      </c>
      <c r="H54" s="21" t="s">
        <v>149</v>
      </c>
      <c r="I54" s="9">
        <f t="shared" ca="1" si="0"/>
        <v>45805.861799421298</v>
      </c>
      <c r="J54" s="9">
        <v>47848.999988425923</v>
      </c>
    </row>
    <row r="55" spans="1:10">
      <c r="B55" s="20" t="s">
        <v>73</v>
      </c>
      <c r="C55" s="1" t="s">
        <v>127</v>
      </c>
      <c r="G55" t="s">
        <v>144</v>
      </c>
      <c r="H55" s="22" t="s">
        <v>151</v>
      </c>
    </row>
    <row r="56" spans="1:10">
      <c r="B56" s="20" t="s">
        <v>74</v>
      </c>
      <c r="C56" s="1" t="s">
        <v>128</v>
      </c>
      <c r="D56" s="24" t="s">
        <v>16</v>
      </c>
      <c r="E56" s="24" t="s">
        <v>21</v>
      </c>
      <c r="F56" s="4">
        <v>1</v>
      </c>
      <c r="G56" t="s">
        <v>138</v>
      </c>
      <c r="H56" s="21" t="s">
        <v>151</v>
      </c>
      <c r="I56" s="9">
        <f t="shared" ref="I56" ca="1" si="1">NOW()</f>
        <v>45805.861799421298</v>
      </c>
      <c r="J56" s="9">
        <v>47848.999988425923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2025-05-28T13:41:00Z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